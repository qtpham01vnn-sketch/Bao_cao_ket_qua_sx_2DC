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GỌC MAI -1.10.24 -DC1\NĂM 2026 - DC1\BÁO CÁO THÁNG\THÁNG 8.2026\"/>
    </mc:Choice>
  </mc:AlternateContent>
  <bookViews>
    <workbookView xWindow="0" yWindow="0" windowWidth="28800" windowHeight="10335"/>
  </bookViews>
  <sheets>
    <sheet name="T8.25" sheetId="1" r:id="rId1"/>
    <sheet name="Nhân sự TBTM" sheetId="2" state="hidden" r:id="rId2"/>
  </sheets>
  <externalReferences>
    <externalReference r:id="rId3"/>
    <externalReference r:id="rId4"/>
    <externalReference r:id="rId5"/>
  </externalReferences>
  <definedNames>
    <definedName name="_xlnm.Print_Area" localSheetId="0">T8.25!$A$1:$M$137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0" i="1" l="1"/>
  <c r="F67" i="1"/>
  <c r="D25" i="1" l="1"/>
  <c r="F25" i="1"/>
  <c r="O30" i="1" l="1"/>
  <c r="D57" i="1"/>
  <c r="O9" i="1"/>
  <c r="Q8" i="1"/>
  <c r="R8" i="1"/>
  <c r="P8" i="1"/>
  <c r="O7" i="1"/>
  <c r="E89" i="1" l="1"/>
  <c r="B25" i="1" l="1"/>
  <c r="B57" i="1" s="1"/>
  <c r="F57" i="1" l="1"/>
  <c r="F105" i="1"/>
  <c r="I87" i="1" l="1"/>
  <c r="I113" i="1" l="1"/>
  <c r="F63" i="1" l="1"/>
  <c r="F62" i="1"/>
  <c r="I62" i="1" s="1"/>
  <c r="J57" i="1" l="1"/>
  <c r="G109" i="1" l="1"/>
  <c r="O109" i="1" s="1"/>
  <c r="C109" i="1" l="1"/>
  <c r="D109" i="1" l="1"/>
  <c r="E112" i="1" l="1"/>
  <c r="F112" i="1"/>
  <c r="D112" i="1"/>
  <c r="R62" i="1" l="1"/>
  <c r="I89" i="1" l="1"/>
  <c r="G113" i="1" l="1"/>
  <c r="F113" i="1" s="1"/>
  <c r="E113" i="1" l="1"/>
  <c r="D113" i="1"/>
  <c r="C113" i="1"/>
  <c r="M9" i="1"/>
  <c r="I86" i="1" l="1"/>
  <c r="I88" i="1"/>
  <c r="I90" i="1"/>
  <c r="I91" i="1"/>
  <c r="E92" i="1"/>
  <c r="H31" i="1" l="1"/>
  <c r="D32" i="1" l="1"/>
  <c r="B32" i="1"/>
  <c r="H32" i="1"/>
  <c r="F32" i="1"/>
  <c r="H115" i="1" l="1"/>
  <c r="H111" i="1"/>
  <c r="I111" i="1"/>
  <c r="C115" i="1" l="1"/>
  <c r="E115" i="1"/>
  <c r="F115" i="1"/>
  <c r="D115" i="1"/>
  <c r="G115" i="1"/>
  <c r="I115" i="1"/>
  <c r="F65" i="1"/>
  <c r="I85" i="1" l="1"/>
  <c r="I92" i="1" s="1"/>
  <c r="F66" i="1"/>
  <c r="R61" i="1" l="1"/>
  <c r="D9" i="1" l="1"/>
  <c r="S8" i="1"/>
  <c r="J90" i="1" l="1"/>
  <c r="J85" i="1" l="1"/>
  <c r="J86" i="1"/>
  <c r="J87" i="1"/>
  <c r="J88" i="1"/>
  <c r="J91" i="1"/>
  <c r="K116" i="1" l="1"/>
  <c r="J116" i="1"/>
  <c r="K112" i="1"/>
  <c r="J112" i="1"/>
  <c r="J6" i="2" l="1"/>
  <c r="J2" i="2" l="1"/>
  <c r="I8" i="2"/>
  <c r="H8" i="2"/>
  <c r="G8" i="2"/>
  <c r="F8" i="2"/>
  <c r="E8" i="2"/>
  <c r="J7" i="2"/>
  <c r="K7" i="2" s="1"/>
  <c r="D8" i="2"/>
  <c r="J5" i="2"/>
  <c r="K5" i="2" s="1"/>
  <c r="J4" i="2"/>
  <c r="K4" i="2" s="1"/>
  <c r="J3" i="2"/>
  <c r="K3" i="2" s="1"/>
  <c r="K2" i="2"/>
  <c r="J8" i="2" l="1"/>
  <c r="K6" i="2"/>
  <c r="K8" i="2" s="1"/>
  <c r="P88" i="1" l="1"/>
  <c r="G92" i="1" l="1"/>
  <c r="H92" i="1"/>
  <c r="D89" i="1" l="1"/>
  <c r="J89" i="1" l="1"/>
  <c r="J92" i="1" s="1"/>
  <c r="C9" i="1" l="1"/>
  <c r="F92" i="1" l="1"/>
  <c r="D92" i="1"/>
  <c r="H55" i="1"/>
  <c r="H43" i="1"/>
  <c r="H39" i="1"/>
  <c r="F9" i="1"/>
  <c r="E9" i="1"/>
  <c r="K8" i="1"/>
  <c r="G9" i="1" l="1"/>
  <c r="D44" i="1"/>
  <c r="B44" i="1"/>
  <c r="F44" i="1"/>
  <c r="H40" i="1"/>
  <c r="F40" i="1"/>
  <c r="D40" i="1"/>
  <c r="B40" i="1"/>
  <c r="H56" i="1"/>
  <c r="H44" i="1"/>
  <c r="B56" i="1"/>
  <c r="D56" i="1"/>
  <c r="F56" i="1"/>
  <c r="I9" i="1" l="1"/>
  <c r="J10" i="1"/>
  <c r="K10" i="1" s="1"/>
  <c r="E10" i="1"/>
  <c r="E12" i="1" s="1"/>
  <c r="D10" i="1"/>
  <c r="F10" i="1"/>
  <c r="F12" i="1" s="1"/>
  <c r="D12" i="1" l="1"/>
  <c r="G10" i="1"/>
  <c r="F45" i="1"/>
  <c r="D45" i="1"/>
  <c r="B45" i="1"/>
  <c r="H45" i="1" l="1"/>
  <c r="B46" i="1" s="1"/>
  <c r="H51" i="1"/>
  <c r="D52" i="1" s="1"/>
  <c r="H47" i="1"/>
  <c r="F48" i="1" s="1"/>
  <c r="H19" i="1"/>
  <c r="B20" i="1" s="1"/>
  <c r="H49" i="1"/>
  <c r="H53" i="1"/>
  <c r="D54" i="1" l="1"/>
  <c r="D20" i="1"/>
  <c r="F20" i="1"/>
  <c r="F50" i="1"/>
  <c r="B50" i="1"/>
  <c r="B52" i="1"/>
  <c r="H48" i="1"/>
  <c r="H20" i="1"/>
  <c r="D48" i="1"/>
  <c r="H41" i="1"/>
  <c r="F54" i="1"/>
  <c r="H54" i="1"/>
  <c r="B54" i="1"/>
  <c r="F46" i="1"/>
  <c r="H46" i="1"/>
  <c r="H52" i="1"/>
  <c r="D50" i="1"/>
  <c r="H50" i="1"/>
  <c r="F52" i="1"/>
  <c r="B48" i="1"/>
  <c r="D46" i="1"/>
  <c r="D42" i="1" l="1"/>
  <c r="B42" i="1"/>
  <c r="F42" i="1"/>
  <c r="H42" i="1"/>
  <c r="P60" i="1" l="1"/>
  <c r="I65" i="1"/>
  <c r="I66" i="1"/>
  <c r="F64" i="1"/>
  <c r="I64" i="1" s="1"/>
  <c r="R64" i="1"/>
  <c r="O76" i="1" l="1"/>
  <c r="F61" i="1"/>
  <c r="F75" i="1"/>
  <c r="F69" i="1"/>
  <c r="J69" i="1" s="1"/>
  <c r="R60" i="1" l="1"/>
  <c r="I61" i="1" l="1"/>
  <c r="F81" i="1" l="1"/>
  <c r="I81" i="1" s="1"/>
  <c r="F80" i="1"/>
  <c r="I80" i="1" s="1"/>
  <c r="F72" i="1"/>
  <c r="I72" i="1" s="1"/>
  <c r="F74" i="1" l="1"/>
  <c r="J74" i="1" s="1"/>
  <c r="G111" i="1"/>
  <c r="C111" i="1"/>
  <c r="E109" i="1"/>
  <c r="E111" i="1" s="1"/>
  <c r="D111" i="1"/>
  <c r="F109" i="1"/>
  <c r="F111" i="1" s="1"/>
  <c r="H33" i="1" l="1"/>
  <c r="B34" i="1" s="1"/>
  <c r="H27" i="1"/>
  <c r="B28" i="1" s="1"/>
  <c r="H25" i="1"/>
  <c r="B26" i="1" s="1"/>
  <c r="H29" i="1"/>
  <c r="B30" i="1" s="1"/>
  <c r="H35" i="1"/>
  <c r="F36" i="1" s="1"/>
  <c r="H17" i="1"/>
  <c r="H23" i="1"/>
  <c r="F24" i="1" s="1"/>
  <c r="H21" i="1"/>
  <c r="B22" i="1" s="1"/>
  <c r="H37" i="1"/>
  <c r="D34" i="1" l="1"/>
  <c r="D18" i="1"/>
  <c r="H57" i="1"/>
  <c r="J28" i="1" s="1"/>
  <c r="F34" i="1"/>
  <c r="B24" i="1"/>
  <c r="D30" i="1"/>
  <c r="D22" i="1"/>
  <c r="D24" i="1"/>
  <c r="F30" i="1"/>
  <c r="F22" i="1"/>
  <c r="F26" i="1"/>
  <c r="D26" i="1"/>
  <c r="B18" i="1"/>
  <c r="D38" i="1"/>
  <c r="H38" i="1"/>
  <c r="H24" i="1"/>
  <c r="H28" i="1"/>
  <c r="H18" i="1"/>
  <c r="F18" i="1"/>
  <c r="H30" i="1"/>
  <c r="H22" i="1"/>
  <c r="F28" i="1"/>
  <c r="F38" i="1"/>
  <c r="D36" i="1"/>
  <c r="H36" i="1"/>
  <c r="D28" i="1"/>
  <c r="B38" i="1"/>
  <c r="B36" i="1"/>
  <c r="H26" i="1"/>
  <c r="H34" i="1"/>
  <c r="J36" i="1" l="1"/>
  <c r="J34" i="1"/>
  <c r="J38" i="1"/>
  <c r="J30" i="1"/>
  <c r="B58" i="1"/>
  <c r="J26" i="1"/>
  <c r="F58" i="1"/>
  <c r="D58" i="1"/>
  <c r="J22" i="1"/>
  <c r="J24" i="1"/>
  <c r="J44" i="1"/>
  <c r="H58" i="1"/>
  <c r="J52" i="1"/>
  <c r="J54" i="1"/>
  <c r="J56" i="1"/>
  <c r="J42" i="1"/>
  <c r="J32" i="1"/>
  <c r="J48" i="1"/>
  <c r="J40" i="1"/>
  <c r="J46" i="1"/>
  <c r="J50" i="1"/>
  <c r="J20" i="1"/>
  <c r="J18" i="1"/>
  <c r="J58" i="1" l="1"/>
  <c r="F68" i="1" l="1"/>
  <c r="I68" i="1" s="1"/>
  <c r="F71" i="1"/>
  <c r="F73" i="1" l="1"/>
  <c r="J73" i="1" s="1"/>
  <c r="G7" i="1" l="1"/>
  <c r="G11" i="1" s="1"/>
  <c r="O8" i="1" l="1"/>
  <c r="E7" i="1"/>
  <c r="E11" i="1" s="1"/>
  <c r="C7" i="1"/>
  <c r="C11" i="1" s="1"/>
  <c r="F7" i="1"/>
  <c r="F11" i="1" s="1"/>
  <c r="D7" i="1"/>
  <c r="D11" i="1" s="1"/>
</calcChain>
</file>

<file path=xl/comments1.xml><?xml version="1.0" encoding="utf-8"?>
<comments xmlns="http://schemas.openxmlformats.org/spreadsheetml/2006/main">
  <authors>
    <author>Dell</author>
  </authors>
  <commentList>
    <comment ref="H7" authorId="0" shapeId="0">
      <text>
        <r>
          <rPr>
            <b/>
            <sz val="9"/>
            <rFont val="Tahoma"/>
            <family val="2"/>
          </rPr>
          <t>Dell:</t>
        </r>
        <r>
          <rPr>
            <sz val="9"/>
            <rFont val="Tahoma"/>
            <family val="2"/>
          </rPr>
          <t xml:space="preserve">
nhập ngày sx
</t>
        </r>
      </text>
    </comment>
    <comment ref="I7" authorId="0" shapeId="0">
      <text>
        <r>
          <rPr>
            <b/>
            <sz val="9"/>
            <rFont val="Tahoma"/>
            <family val="2"/>
          </rPr>
          <t>Dell:</t>
        </r>
        <r>
          <rPr>
            <sz val="9"/>
            <rFont val="Tahoma"/>
            <family val="2"/>
          </rPr>
          <t xml:space="preserve">
nhập</t>
        </r>
      </text>
    </comment>
    <comment ref="H9" authorId="0" shapeId="0">
      <text>
        <r>
          <rPr>
            <b/>
            <sz val="9"/>
            <rFont val="Tahoma"/>
            <family val="2"/>
          </rPr>
          <t>Dell:</t>
        </r>
        <r>
          <rPr>
            <sz val="9"/>
            <rFont val="Tahoma"/>
            <family val="2"/>
          </rPr>
          <t xml:space="preserve">
nhập ngày sx
</t>
        </r>
      </text>
    </comment>
    <comment ref="M10" authorId="0" shapeId="0">
      <text>
        <r>
          <rPr>
            <b/>
            <sz val="9"/>
            <rFont val="Tahoma"/>
            <family val="2"/>
          </rPr>
          <t>Dell:</t>
        </r>
        <r>
          <rPr>
            <sz val="9"/>
            <rFont val="Tahoma"/>
            <family val="2"/>
          </rPr>
          <t xml:space="preserve">
BC NGÀY</t>
        </r>
      </text>
    </comment>
    <comment ref="F60" authorId="0" shapeId="0">
      <text>
        <r>
          <rPr>
            <b/>
            <sz val="9"/>
            <rFont val="Tahoma"/>
            <family val="2"/>
          </rPr>
          <t>Dell:</t>
        </r>
        <r>
          <rPr>
            <sz val="9"/>
            <rFont val="Tahoma"/>
            <family val="2"/>
          </rPr>
          <t xml:space="preserve">
</t>
        </r>
      </text>
    </comment>
    <comment ref="G60" authorId="0" shapeId="0">
      <text>
        <r>
          <rPr>
            <b/>
            <sz val="9"/>
            <rFont val="Tahoma"/>
            <family val="2"/>
          </rPr>
          <t>Dell:</t>
        </r>
        <r>
          <rPr>
            <sz val="9"/>
            <rFont val="Tahoma"/>
            <family val="2"/>
          </rPr>
          <t xml:space="preserve">
</t>
        </r>
      </text>
    </comment>
    <comment ref="I10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<sst xmlns="http://schemas.openxmlformats.org/spreadsheetml/2006/main" count="259" uniqueCount="171">
  <si>
    <t>CÔNG TY CỔ PHẦN GẠCH MEN PHƯƠNG NAM</t>
  </si>
  <si>
    <t>PXSX DC1</t>
  </si>
  <si>
    <t xml:space="preserve">I. Kết quả sản lượng - Chất lượng - thu hồi Tổng A1+A+B sản xuất 30x60cm </t>
  </si>
  <si>
    <t>Kích thước</t>
  </si>
  <si>
    <t>Sản lượng ép</t>
  </si>
  <si>
    <t>Sản lượng thu hồi</t>
  </si>
  <si>
    <t>Tổng (A1+A+B)</t>
  </si>
  <si>
    <t>Số ngày sx</t>
  </si>
  <si>
    <t xml:space="preserve">TB/ngày </t>
  </si>
  <si>
    <t>A/ép (%)</t>
  </si>
  <si>
    <t>C</t>
  </si>
  <si>
    <t>Huỷ</t>
  </si>
  <si>
    <t>T/g dừng 2MF</t>
  </si>
  <si>
    <t>KH/TH</t>
  </si>
  <si>
    <t>ĐVT</t>
  </si>
  <si>
    <t>A1</t>
  </si>
  <si>
    <t>A</t>
  </si>
  <si>
    <t>B</t>
  </si>
  <si>
    <t>m2</t>
  </si>
  <si>
    <t>C/ép</t>
  </si>
  <si>
    <t>Huỷ/ép</t>
  </si>
  <si>
    <t>Phút/ngày</t>
  </si>
  <si>
    <t>Kế hoạch 30x60</t>
  </si>
  <si>
    <t>A1+A+B</t>
  </si>
  <si>
    <t>%</t>
  </si>
  <si>
    <t>Thực hiện
30x60</t>
  </si>
  <si>
    <t>So sánh TH/KH</t>
  </si>
  <si>
    <t xml:space="preserve">Ghi chú: </t>
  </si>
  <si>
    <t>II. Sản lượng theo các thương hiệu sản xuất</t>
  </si>
  <si>
    <t>Kh/TH</t>
  </si>
  <si>
    <t>Thực Hiện</t>
  </si>
  <si>
    <t>Tỷ lệ (%)</t>
  </si>
  <si>
    <t>Ghi chú</t>
  </si>
  <si>
    <t>Tổng  A1+A+B</t>
  </si>
  <si>
    <t>Grandcera chung</t>
  </si>
  <si>
    <t>Sản lượng men Phương Nam</t>
  </si>
  <si>
    <t>Espana</t>
  </si>
  <si>
    <t>Sahado</t>
  </si>
  <si>
    <t>Green Home</t>
  </si>
  <si>
    <t>Green Era</t>
  </si>
  <si>
    <t>Top One</t>
  </si>
  <si>
    <t>Lustile</t>
  </si>
  <si>
    <t>Luxury</t>
  </si>
  <si>
    <t>Sản lượng men Panson</t>
  </si>
  <si>
    <t>Sản lượng men Matt</t>
  </si>
  <si>
    <t>Grandcera</t>
  </si>
  <si>
    <t>Havira</t>
  </si>
  <si>
    <t>Tổng</t>
  </si>
  <si>
    <t>Nguyên liệu vật tư</t>
  </si>
  <si>
    <t>Định mức tiêu hao</t>
  </si>
  <si>
    <t xml:space="preserve"> Thực tế 
Tiêu hao</t>
  </si>
  <si>
    <t>Lượng SD</t>
  </si>
  <si>
    <t xml:space="preserve"> -Giảm ĐM</t>
  </si>
  <si>
    <t>+ Vượt ĐM</t>
  </si>
  <si>
    <t>SL</t>
  </si>
  <si>
    <t>Kg</t>
  </si>
  <si>
    <t>PN</t>
  </si>
  <si>
    <t>MATT</t>
  </si>
  <si>
    <t>PS</t>
  </si>
  <si>
    <t>Cái</t>
  </si>
  <si>
    <t>STT</t>
  </si>
  <si>
    <t>Vị trí</t>
  </si>
  <si>
    <t>Định biên</t>
  </si>
  <si>
    <t>Nghỉ việc</t>
  </si>
  <si>
    <t>Thiếu nhân sự</t>
  </si>
  <si>
    <t>Văn Phòng</t>
  </si>
  <si>
    <t>Bộ phận Ép - TM</t>
  </si>
  <si>
    <t>Bộ phận lò nung</t>
  </si>
  <si>
    <t>Bộ phận PLĐG</t>
  </si>
  <si>
    <t>VSCN</t>
  </si>
  <si>
    <t>THỐNG KÊ</t>
  </si>
  <si>
    <t>Ngũ Thị Mỹ Duyên</t>
  </si>
  <si>
    <t>Nơi gửi: TGĐ Công ty (B/c)</t>
  </si>
  <si>
    <t xml:space="preserve">            - P.TGĐ TB, P.TGĐ TCHC</t>
  </si>
  <si>
    <t>Nơi lưu: PXSX DC1</t>
  </si>
  <si>
    <t>TỔNG KẾ HOẠCH DC1</t>
  </si>
  <si>
    <t>TỔNG MỤC TIÊU DC1</t>
  </si>
  <si>
    <t>VII. Đánh giá</t>
  </si>
  <si>
    <t>1. Các lỗi sản phẩm</t>
  </si>
  <si>
    <t>2. Nhân sự</t>
  </si>
  <si>
    <t>QĐ PXSX</t>
  </si>
  <si>
    <t>Nguyễn Danh Định</t>
  </si>
  <si>
    <t>Tổng số nhân sự
 31/07/2025</t>
  </si>
  <si>
    <t>Đốc ca</t>
  </si>
  <si>
    <t>Tuyển mới</t>
  </si>
  <si>
    <t>P.TGĐ PT</t>
  </si>
  <si>
    <t xml:space="preserve">            - P.TGĐ PT, P.TGĐ KD</t>
  </si>
  <si>
    <t>Tổng số nhân sự
 31/08/2025</t>
  </si>
  <si>
    <t>Dây chuyền 2 chuyển qua</t>
  </si>
  <si>
    <t>Nghiền Liệu</t>
  </si>
  <si>
    <t>Sấy Phun</t>
  </si>
  <si>
    <t>Nghiền Men</t>
  </si>
  <si>
    <t>Xe Xúc</t>
  </si>
  <si>
    <t>Chuyển BP khác</t>
  </si>
  <si>
    <t>- Tổng TBTM đến 31/08/2025: 59 người</t>
  </si>
  <si>
    <t xml:space="preserve">- Trong đó: 
 -  Nghiền liệu: Tuyển mới 1 người. DC2 chuyển sang 1 người. Nghỉ việc 1 người
- Sấy phun: Tuyển mới 2 người: chuyển  dc2 1 người. Nghĩ việc 1 người.
- Nghiền men: Dc2 chuyển sang 1 người </t>
  </si>
  <si>
    <t>Tên Đại Lý</t>
  </si>
  <si>
    <t>Mã SP</t>
  </si>
  <si>
    <t>Ngày SX</t>
  </si>
  <si>
    <t>Số lượng xử lý (m2)</t>
  </si>
  <si>
    <t>Lỗi khiếu nại</t>
  </si>
  <si>
    <t>Đánh giá lỗi sản phẩm</t>
  </si>
  <si>
    <t>DC1</t>
  </si>
  <si>
    <t>Số người</t>
  </si>
  <si>
    <t>Tổng số</t>
  </si>
  <si>
    <t>Bộ phận Xe Nâng</t>
  </si>
  <si>
    <t>-Các lỗi xảy ra trong tháng đã được kiểm soát.</t>
  </si>
  <si>
    <t>Crovina</t>
  </si>
  <si>
    <t>Kế hoạch</t>
  </si>
  <si>
    <t xml:space="preserve">Mục tiêu </t>
  </si>
  <si>
    <t>Karpo</t>
  </si>
  <si>
    <t>Độ dày dây đai vượt tiêu chuẩn cho phép</t>
  </si>
  <si>
    <t>Nghỉ thai sản</t>
  </si>
  <si>
    <t>IV. Nhân sự</t>
  </si>
  <si>
    <r>
      <t>Ghi chú:</t>
    </r>
    <r>
      <rPr>
        <i/>
        <sz val="13"/>
        <color theme="1"/>
        <rFont val="Times New Roman"/>
        <family val="1"/>
      </rPr>
      <t xml:space="preserve"> </t>
    </r>
  </si>
  <si>
    <t>Pallet 1100x1100x90</t>
  </si>
  <si>
    <t>Pallet cũ 1 mặt loại 2</t>
  </si>
  <si>
    <t>Pallet 1100x1100 cũ loại 1</t>
  </si>
  <si>
    <t>Pallet 1100x1100x60 mm</t>
  </si>
  <si>
    <t>Nguyên liệu xương</t>
  </si>
  <si>
    <t>Men EWM</t>
  </si>
  <si>
    <t>Men EWP</t>
  </si>
  <si>
    <t>Men GWB (GP17A)</t>
  </si>
  <si>
    <t>Men GWP</t>
  </si>
  <si>
    <t>Men GWM</t>
  </si>
  <si>
    <t>Bi trung nhôm</t>
  </si>
  <si>
    <t>Bi cao nhôm Grand</t>
  </si>
  <si>
    <t>Vỏ Điều</t>
  </si>
  <si>
    <t>Ke góc</t>
  </si>
  <si>
    <t>Dây đai hộp</t>
  </si>
  <si>
    <t>Dây đai pét</t>
  </si>
  <si>
    <t>Bao bì</t>
  </si>
  <si>
    <t>Màng co PE khổ 500mm</t>
  </si>
  <si>
    <t>Nan Nẹp</t>
  </si>
  <si>
    <t>III. Tiêu hao vật tư tháng 07/2026</t>
  </si>
  <si>
    <t>Ghi chú: 1 ngày thay con lăn</t>
  </si>
  <si>
    <t>Gạch bị nứt góc</t>
  </si>
  <si>
    <t>Bi cao nhôm Luxury</t>
  </si>
  <si>
    <t>Men EWB (EP17B+EP17C)</t>
  </si>
  <si>
    <t>Vidona</t>
  </si>
  <si>
    <t>Lustiles</t>
  </si>
  <si>
    <t>Padova</t>
  </si>
  <si>
    <t>VI. Kế hoạch thực hiện tháng 09/2026</t>
  </si>
  <si>
    <t>-Dây chuyền trong tháng 08 chạy 1 loại men phương nam. Chất lượng, sản lượng đạt.</t>
  </si>
  <si>
    <t>V. Khiếu nại trong tháng 08/2026</t>
  </si>
  <si>
    <t>Đồng Nai, ngày 04 tháng 09 năm 2026</t>
  </si>
  <si>
    <t xml:space="preserve">ETM: 1 tuyển mới, 1 nghỉ thai sản
PLĐG: 1 nghỉ việc
</t>
  </si>
  <si>
    <t>-Nhân sự đến 31/08/2026 là 101 thiếu 7. Đáp ứng đủ sản xuất, sắp xếp ca ổn định.</t>
  </si>
  <si>
    <t>BÁO CÁO KẾT QUẢ SẢN XUẤT DÂY CHUYỀN 1 THÁNG 08 NĂM 2026</t>
  </si>
  <si>
    <t>Test mẫu</t>
  </si>
  <si>
    <t>Tiêu hao SP: 74 KG ĐIỀU/TẤN BỘT</t>
  </si>
  <si>
    <t>KIẾN THÀNH</t>
  </si>
  <si>
    <t>KTC3905A1</t>
  </si>
  <si>
    <t xml:space="preserve"> Gạch bị lệch màu</t>
  </si>
  <si>
    <t>Tổng lượng xử lý trong tháng 08 DC1</t>
  </si>
  <si>
    <t>NAM HÀ THÀNH</t>
  </si>
  <si>
    <t>E10A1</t>
  </si>
  <si>
    <t>T10/2025</t>
  </si>
  <si>
    <t>Gạch bị nứt cạnh</t>
  </si>
  <si>
    <t>PT TRANG HOÀNG PHƯƠNG</t>
  </si>
  <si>
    <t>THPM36602A1</t>
  </si>
  <si>
    <t>MHP36620A1</t>
  </si>
  <si>
    <t>Gạch bị vểnh góc nhẹ</t>
  </si>
  <si>
    <t>TOP ONE</t>
  </si>
  <si>
    <t xml:space="preserve">TO3811A1 </t>
  </si>
  <si>
    <t>TO3810A1</t>
  </si>
  <si>
    <t>TO3810VA1</t>
  </si>
  <si>
    <t>TRIỀU THUẬN NGUYÊN</t>
  </si>
  <si>
    <t>TTH3915A1</t>
  </si>
  <si>
    <t>Gạch bị mo nhẹ</t>
  </si>
  <si>
    <t>-Ngày 21/08/26 bảo dưỡng thay con lăn.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</si>
</sst>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_(* #,##0.000_);_(* \(#,##0.000\);_(* &quot;-&quot;??_);_(@_)"/>
    <numFmt numFmtId="167" formatCode="_(* #,##0.000_);_(* \(#,##0.000\);_(* &quot;-&quot;??.0_);_(@_)"/>
    <numFmt numFmtId="168" formatCode="_(* #,##0.0000_);_(* \(#,##0.0000\);_(* &quot;-&quot;??_);_(@_)"/>
    <numFmt numFmtId="169" formatCode="_(* #,##0.00000_);_(* \(#,##0.00000\);_(* &quot;-&quot;??_);_(@_)"/>
    <numFmt numFmtId="170" formatCode="_(* #,##0.0000_);_(* \(#,##0.0000\);_(* &quot;-&quot;??.0_);_(@_)"/>
    <numFmt numFmtId="171" formatCode="_(* #,##0.00000_);_(* \(#,##0.00000\);_(* &quot;-&quot;??.00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2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3"/>
      <name val="Times New Roman"/>
      <family val="1"/>
    </font>
    <font>
      <b/>
      <sz val="13"/>
      <color rgb="FF000000"/>
      <name val="Times New Roman"/>
      <family val="1"/>
    </font>
    <font>
      <b/>
      <sz val="13"/>
      <name val="Times New Roman"/>
      <family val="1"/>
    </font>
    <font>
      <i/>
      <sz val="13"/>
      <color rgb="FF000000"/>
      <name val="Times New Roman"/>
      <family val="1"/>
    </font>
    <font>
      <i/>
      <sz val="13"/>
      <name val="Times New Roman"/>
      <family val="1"/>
    </font>
    <font>
      <i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sz val="13"/>
      <color theme="0"/>
      <name val="Times New Roman"/>
      <family val="1"/>
    </font>
    <font>
      <sz val="13"/>
      <color rgb="FF000000"/>
      <name val="TimesNewRomanPSMT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</cellStyleXfs>
  <cellXfs count="363">
    <xf numFmtId="0" fontId="0" fillId="0" borderId="0" xfId="0"/>
    <xf numFmtId="0" fontId="8" fillId="0" borderId="0" xfId="2" applyFont="1" applyAlignment="1">
      <alignment vertical="center"/>
    </xf>
    <xf numFmtId="3" fontId="8" fillId="0" borderId="0" xfId="2" applyNumberFormat="1" applyFont="1" applyAlignment="1">
      <alignment vertical="center"/>
    </xf>
    <xf numFmtId="0" fontId="9" fillId="0" borderId="0" xfId="2" applyFont="1" applyAlignment="1">
      <alignment vertical="center"/>
    </xf>
    <xf numFmtId="3" fontId="10" fillId="0" borderId="22" xfId="2" applyNumberFormat="1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 wrapText="1"/>
    </xf>
    <xf numFmtId="3" fontId="10" fillId="0" borderId="11" xfId="2" applyNumberFormat="1" applyFont="1" applyBorder="1" applyAlignment="1">
      <alignment horizontal="center" vertical="center" wrapText="1"/>
    </xf>
    <xf numFmtId="3" fontId="10" fillId="0" borderId="22" xfId="2" applyNumberFormat="1" applyFont="1" applyBorder="1" applyAlignment="1">
      <alignment horizontal="center" vertical="center" wrapText="1"/>
    </xf>
    <xf numFmtId="0" fontId="10" fillId="0" borderId="22" xfId="2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/>
    </xf>
    <xf numFmtId="0" fontId="11" fillId="0" borderId="11" xfId="1" applyNumberFormat="1" applyFont="1" applyBorder="1" applyAlignment="1">
      <alignment horizontal="center" vertical="center"/>
    </xf>
    <xf numFmtId="3" fontId="11" fillId="0" borderId="22" xfId="2" applyNumberFormat="1" applyFont="1" applyBorder="1" applyAlignment="1">
      <alignment horizontal="center" vertical="center" wrapText="1"/>
    </xf>
    <xf numFmtId="3" fontId="10" fillId="0" borderId="11" xfId="2" applyNumberFormat="1" applyFont="1" applyBorder="1" applyAlignment="1">
      <alignment horizontal="center" vertical="center"/>
    </xf>
    <xf numFmtId="0" fontId="10" fillId="0" borderId="11" xfId="1" applyNumberFormat="1" applyFont="1" applyBorder="1" applyAlignment="1">
      <alignment horizontal="center" vertical="center"/>
    </xf>
    <xf numFmtId="3" fontId="10" fillId="0" borderId="11" xfId="1" applyNumberFormat="1" applyFont="1" applyBorder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0" fontId="11" fillId="0" borderId="11" xfId="2" applyFont="1" applyBorder="1" applyAlignment="1">
      <alignment horizontal="left" vertical="center"/>
    </xf>
    <xf numFmtId="0" fontId="12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3" fontId="13" fillId="0" borderId="0" xfId="2" applyNumberFormat="1" applyFont="1" applyAlignment="1">
      <alignment vertical="center"/>
    </xf>
    <xf numFmtId="43" fontId="13" fillId="0" borderId="0" xfId="2" applyNumberFormat="1" applyFont="1" applyAlignment="1">
      <alignment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4" fillId="2" borderId="0" xfId="2" applyFont="1" applyFill="1" applyAlignment="1">
      <alignment vertical="center"/>
    </xf>
    <xf numFmtId="0" fontId="12" fillId="0" borderId="6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3" fontId="12" fillId="0" borderId="7" xfId="2" applyNumberFormat="1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2" fillId="0" borderId="10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43" fontId="13" fillId="0" borderId="4" xfId="1" applyFont="1" applyBorder="1" applyAlignment="1">
      <alignment horizontal="center" vertical="center"/>
    </xf>
    <xf numFmtId="164" fontId="13" fillId="0" borderId="4" xfId="1" applyNumberFormat="1" applyFont="1" applyBorder="1" applyAlignment="1">
      <alignment horizontal="center" vertical="center"/>
    </xf>
    <xf numFmtId="3" fontId="13" fillId="0" borderId="4" xfId="2" applyNumberFormat="1" applyFont="1" applyBorder="1" applyAlignment="1">
      <alignment horizontal="center" vertical="center"/>
    </xf>
    <xf numFmtId="3" fontId="13" fillId="0" borderId="5" xfId="2" applyNumberFormat="1" applyFont="1" applyBorder="1" applyAlignment="1">
      <alignment horizontal="center" vertical="center"/>
    </xf>
    <xf numFmtId="43" fontId="13" fillId="3" borderId="11" xfId="1" applyFont="1" applyFill="1" applyBorder="1" applyAlignment="1">
      <alignment horizontal="center" vertical="center"/>
    </xf>
    <xf numFmtId="0" fontId="13" fillId="2" borderId="11" xfId="2" applyFont="1" applyFill="1" applyBorder="1" applyAlignment="1">
      <alignment horizontal="center" vertical="center"/>
    </xf>
    <xf numFmtId="0" fontId="13" fillId="4" borderId="11" xfId="2" applyFont="1" applyFill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43" fontId="13" fillId="0" borderId="14" xfId="1" applyFont="1" applyBorder="1" applyAlignment="1">
      <alignment horizontal="center" vertical="center"/>
    </xf>
    <xf numFmtId="164" fontId="13" fillId="0" borderId="14" xfId="1" applyNumberFormat="1" applyFont="1" applyBorder="1" applyAlignment="1">
      <alignment horizontal="center" vertical="center"/>
    </xf>
    <xf numFmtId="165" fontId="13" fillId="0" borderId="14" xfId="2" applyNumberFormat="1" applyFont="1" applyBorder="1" applyAlignment="1">
      <alignment horizontal="center" vertical="center"/>
    </xf>
    <xf numFmtId="3" fontId="13" fillId="0" borderId="17" xfId="2" applyNumberFormat="1" applyFont="1" applyBorder="1" applyAlignment="1">
      <alignment vertical="center"/>
    </xf>
    <xf numFmtId="165" fontId="13" fillId="0" borderId="0" xfId="2" applyNumberFormat="1" applyFont="1" applyAlignment="1">
      <alignment vertical="center"/>
    </xf>
    <xf numFmtId="43" fontId="13" fillId="0" borderId="11" xfId="1" applyFont="1" applyBorder="1" applyAlignment="1">
      <alignment vertical="center"/>
    </xf>
    <xf numFmtId="43" fontId="13" fillId="0" borderId="11" xfId="2" applyNumberFormat="1" applyFont="1" applyBorder="1" applyAlignment="1">
      <alignment vertical="center"/>
    </xf>
    <xf numFmtId="43" fontId="15" fillId="10" borderId="4" xfId="3" applyNumberFormat="1" applyFont="1" applyFill="1" applyBorder="1" applyAlignment="1">
      <alignment vertical="center"/>
    </xf>
    <xf numFmtId="4" fontId="13" fillId="0" borderId="4" xfId="2" applyNumberFormat="1" applyFont="1" applyBorder="1" applyAlignment="1">
      <alignment horizontal="center" vertical="center"/>
    </xf>
    <xf numFmtId="4" fontId="13" fillId="0" borderId="4" xfId="2" applyNumberFormat="1" applyFont="1" applyBorder="1" applyAlignment="1">
      <alignment vertical="center"/>
    </xf>
    <xf numFmtId="3" fontId="13" fillId="2" borderId="5" xfId="2" applyNumberFormat="1" applyFont="1" applyFill="1" applyBorder="1" applyAlignment="1">
      <alignment horizontal="center" vertical="center"/>
    </xf>
    <xf numFmtId="0" fontId="12" fillId="4" borderId="0" xfId="2" applyFont="1" applyFill="1" applyAlignment="1">
      <alignment vertical="center"/>
    </xf>
    <xf numFmtId="0" fontId="13" fillId="0" borderId="7" xfId="2" applyFont="1" applyBorder="1" applyAlignment="1">
      <alignment horizontal="center" vertical="center"/>
    </xf>
    <xf numFmtId="43" fontId="13" fillId="0" borderId="7" xfId="1" applyFont="1" applyBorder="1" applyAlignment="1">
      <alignment horizontal="center" vertical="center"/>
    </xf>
    <xf numFmtId="4" fontId="13" fillId="0" borderId="7" xfId="2" applyNumberFormat="1" applyFont="1" applyBorder="1" applyAlignment="1">
      <alignment horizontal="center" vertical="center"/>
    </xf>
    <xf numFmtId="3" fontId="12" fillId="0" borderId="9" xfId="2" applyNumberFormat="1" applyFont="1" applyBorder="1" applyAlignment="1">
      <alignment horizontal="center" vertical="center"/>
    </xf>
    <xf numFmtId="3" fontId="13" fillId="0" borderId="7" xfId="2" applyNumberFormat="1" applyFont="1" applyBorder="1" applyAlignment="1">
      <alignment horizontal="center" vertical="center"/>
    </xf>
    <xf numFmtId="3" fontId="13" fillId="0" borderId="9" xfId="2" applyNumberFormat="1" applyFont="1" applyBorder="1" applyAlignment="1">
      <alignment horizontal="center" vertical="center"/>
    </xf>
    <xf numFmtId="0" fontId="13" fillId="2" borderId="0" xfId="2" applyFont="1" applyFill="1" applyAlignment="1">
      <alignment vertical="center"/>
    </xf>
    <xf numFmtId="0" fontId="12" fillId="0" borderId="11" xfId="2" applyFont="1" applyBorder="1" applyAlignment="1">
      <alignment horizontal="center" vertical="center"/>
    </xf>
    <xf numFmtId="3" fontId="12" fillId="0" borderId="11" xfId="2" applyNumberFormat="1" applyFont="1" applyBorder="1" applyAlignment="1">
      <alignment horizontal="center" vertical="center" wrapText="1"/>
    </xf>
    <xf numFmtId="3" fontId="12" fillId="0" borderId="11" xfId="2" applyNumberFormat="1" applyFont="1" applyBorder="1" applyAlignment="1">
      <alignment vertical="center" wrapText="1"/>
    </xf>
    <xf numFmtId="3" fontId="12" fillId="0" borderId="11" xfId="2" quotePrefix="1" applyNumberFormat="1" applyFont="1" applyBorder="1" applyAlignment="1">
      <alignment vertical="center" wrapText="1"/>
    </xf>
    <xf numFmtId="0" fontId="12" fillId="9" borderId="11" xfId="2" applyFont="1" applyFill="1" applyBorder="1" applyAlignment="1">
      <alignment vertical="center"/>
    </xf>
    <xf numFmtId="43" fontId="12" fillId="9" borderId="11" xfId="2" applyNumberFormat="1" applyFont="1" applyFill="1" applyBorder="1" applyAlignment="1">
      <alignment vertical="center"/>
    </xf>
    <xf numFmtId="0" fontId="12" fillId="9" borderId="11" xfId="2" applyFont="1" applyFill="1" applyBorder="1" applyAlignment="1">
      <alignment horizontal="center" vertical="center"/>
    </xf>
    <xf numFmtId="0" fontId="13" fillId="0" borderId="11" xfId="2" applyFont="1" applyBorder="1" applyAlignment="1">
      <alignment horizontal="center" vertical="center"/>
    </xf>
    <xf numFmtId="164" fontId="13" fillId="0" borderId="11" xfId="1" applyNumberFormat="1" applyFont="1" applyBorder="1" applyAlignment="1">
      <alignment vertical="center"/>
    </xf>
    <xf numFmtId="0" fontId="13" fillId="0" borderId="11" xfId="2" applyFont="1" applyBorder="1" applyAlignment="1">
      <alignment vertical="center"/>
    </xf>
    <xf numFmtId="164" fontId="13" fillId="0" borderId="0" xfId="1" applyNumberFormat="1" applyFont="1" applyAlignment="1">
      <alignment vertical="center"/>
    </xf>
    <xf numFmtId="169" fontId="13" fillId="0" borderId="11" xfId="1" applyNumberFormat="1" applyFont="1" applyBorder="1" applyAlignment="1">
      <alignment horizontal="right" vertical="center"/>
    </xf>
    <xf numFmtId="0" fontId="13" fillId="5" borderId="11" xfId="2" applyFont="1" applyFill="1" applyBorder="1" applyAlignment="1">
      <alignment horizontal="center" vertical="center"/>
    </xf>
    <xf numFmtId="0" fontId="13" fillId="5" borderId="0" xfId="2" applyFont="1" applyFill="1" applyAlignment="1">
      <alignment vertical="center"/>
    </xf>
    <xf numFmtId="43" fontId="13" fillId="0" borderId="0" xfId="1" applyFont="1" applyAlignment="1">
      <alignment vertical="center"/>
    </xf>
    <xf numFmtId="43" fontId="13" fillId="0" borderId="11" xfId="1" applyFont="1" applyFill="1" applyBorder="1" applyAlignment="1">
      <alignment vertical="center"/>
    </xf>
    <xf numFmtId="43" fontId="13" fillId="2" borderId="0" xfId="1" applyFont="1" applyFill="1" applyAlignment="1">
      <alignment vertical="center"/>
    </xf>
    <xf numFmtId="43" fontId="13" fillId="0" borderId="0" xfId="1" applyFont="1" applyBorder="1" applyAlignment="1">
      <alignment vertical="center"/>
    </xf>
    <xf numFmtId="43" fontId="13" fillId="0" borderId="0" xfId="1" applyFont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4" fontId="13" fillId="0" borderId="0" xfId="2" applyNumberFormat="1" applyFont="1" applyAlignment="1">
      <alignment vertical="center"/>
    </xf>
    <xf numFmtId="0" fontId="12" fillId="0" borderId="0" xfId="2" applyFont="1" applyAlignment="1">
      <alignment horizontal="left" vertical="center"/>
    </xf>
    <xf numFmtId="3" fontId="12" fillId="0" borderId="11" xfId="2" applyNumberFormat="1" applyFont="1" applyBorder="1" applyAlignment="1">
      <alignment horizontal="center" vertical="center"/>
    </xf>
    <xf numFmtId="0" fontId="12" fillId="0" borderId="11" xfId="2" applyFont="1" applyBorder="1" applyAlignment="1">
      <alignment horizontal="center" vertical="center" wrapText="1"/>
    </xf>
    <xf numFmtId="3" fontId="12" fillId="0" borderId="22" xfId="2" applyNumberFormat="1" applyFont="1" applyBorder="1" applyAlignment="1">
      <alignment horizontal="center" vertical="center" wrapText="1"/>
    </xf>
    <xf numFmtId="0" fontId="12" fillId="0" borderId="22" xfId="2" applyFont="1" applyBorder="1" applyAlignment="1">
      <alignment horizontal="center" vertical="center" wrapText="1"/>
    </xf>
    <xf numFmtId="0" fontId="13" fillId="0" borderId="11" xfId="1" applyNumberFormat="1" applyFont="1" applyBorder="1" applyAlignment="1">
      <alignment horizontal="center" vertical="center"/>
    </xf>
    <xf numFmtId="3" fontId="13" fillId="0" borderId="22" xfId="2" applyNumberFormat="1" applyFont="1" applyBorder="1" applyAlignment="1">
      <alignment horizontal="center" vertical="center" wrapText="1"/>
    </xf>
    <xf numFmtId="0" fontId="13" fillId="0" borderId="0" xfId="2" applyFont="1" applyAlignment="1">
      <alignment vertical="center" wrapText="1"/>
    </xf>
    <xf numFmtId="0" fontId="13" fillId="0" borderId="11" xfId="2" applyFont="1" applyBorder="1" applyAlignment="1">
      <alignment horizontal="left" vertical="center"/>
    </xf>
    <xf numFmtId="0" fontId="13" fillId="0" borderId="0" xfId="2" quotePrefix="1" applyFont="1" applyAlignment="1">
      <alignment vertical="center" wrapText="1"/>
    </xf>
    <xf numFmtId="0" fontId="13" fillId="0" borderId="23" xfId="2" applyFont="1" applyBorder="1" applyAlignment="1">
      <alignment horizontal="left" vertical="center"/>
    </xf>
    <xf numFmtId="0" fontId="12" fillId="0" borderId="11" xfId="1" applyNumberFormat="1" applyFont="1" applyBorder="1" applyAlignment="1">
      <alignment horizontal="center" vertical="center"/>
    </xf>
    <xf numFmtId="3" fontId="12" fillId="0" borderId="11" xfId="1" applyNumberFormat="1" applyFont="1" applyBorder="1" applyAlignment="1">
      <alignment horizontal="center" vertical="center"/>
    </xf>
    <xf numFmtId="164" fontId="12" fillId="0" borderId="0" xfId="2" applyNumberFormat="1" applyFont="1" applyAlignment="1">
      <alignment vertical="center"/>
    </xf>
    <xf numFmtId="3" fontId="13" fillId="0" borderId="0" xfId="2" applyNumberFormat="1" applyFont="1" applyAlignment="1">
      <alignment horizontal="center" vertical="center"/>
    </xf>
    <xf numFmtId="0" fontId="13" fillId="5" borderId="11" xfId="2" applyFont="1" applyFill="1" applyBorder="1" applyAlignment="1">
      <alignment vertical="center"/>
    </xf>
    <xf numFmtId="0" fontId="12" fillId="5" borderId="11" xfId="2" applyFont="1" applyFill="1" applyBorder="1" applyAlignment="1">
      <alignment horizontal="center" vertical="center" wrapText="1"/>
    </xf>
    <xf numFmtId="0" fontId="12" fillId="5" borderId="22" xfId="2" applyFont="1" applyFill="1" applyBorder="1" applyAlignment="1">
      <alignment horizontal="center" vertical="center" wrapText="1"/>
    </xf>
    <xf numFmtId="43" fontId="13" fillId="5" borderId="11" xfId="1" applyFont="1" applyFill="1" applyBorder="1" applyAlignment="1">
      <alignment horizontal="left" vertical="center"/>
    </xf>
    <xf numFmtId="0" fontId="13" fillId="0" borderId="3" xfId="2" applyFont="1" applyBorder="1" applyAlignment="1">
      <alignment horizontal="center" vertical="center" wrapText="1"/>
    </xf>
    <xf numFmtId="3" fontId="12" fillId="0" borderId="5" xfId="2" applyNumberFormat="1" applyFont="1" applyBorder="1" applyAlignment="1">
      <alignment horizontal="center" vertical="center"/>
    </xf>
    <xf numFmtId="0" fontId="13" fillId="0" borderId="8" xfId="2" applyFont="1" applyBorder="1" applyAlignment="1">
      <alignment horizontal="center" vertical="center" wrapText="1"/>
    </xf>
    <xf numFmtId="164" fontId="13" fillId="0" borderId="7" xfId="1" applyNumberFormat="1" applyFont="1" applyBorder="1" applyAlignment="1">
      <alignment horizontal="center" vertical="center"/>
    </xf>
    <xf numFmtId="43" fontId="13" fillId="0" borderId="7" xfId="1" applyNumberFormat="1" applyFont="1" applyBorder="1" applyAlignment="1">
      <alignment horizontal="center" vertical="center"/>
    </xf>
    <xf numFmtId="165" fontId="13" fillId="0" borderId="7" xfId="2" applyNumberFormat="1" applyFont="1" applyBorder="1" applyAlignment="1">
      <alignment horizontal="center" vertical="center"/>
    </xf>
    <xf numFmtId="3" fontId="13" fillId="0" borderId="9" xfId="2" applyNumberFormat="1" applyFont="1" applyBorder="1" applyAlignment="1">
      <alignment vertical="center"/>
    </xf>
    <xf numFmtId="0" fontId="13" fillId="10" borderId="3" xfId="2" applyFont="1" applyFill="1" applyBorder="1" applyAlignment="1">
      <alignment horizontal="center" vertical="center" wrapText="1"/>
    </xf>
    <xf numFmtId="164" fontId="13" fillId="10" borderId="4" xfId="1" applyNumberFormat="1" applyFont="1" applyFill="1" applyBorder="1" applyAlignment="1">
      <alignment horizontal="center" vertical="center"/>
    </xf>
    <xf numFmtId="43" fontId="13" fillId="10" borderId="4" xfId="1" applyFont="1" applyFill="1" applyBorder="1" applyAlignment="1">
      <alignment horizontal="center" vertical="center"/>
    </xf>
    <xf numFmtId="3" fontId="13" fillId="10" borderId="4" xfId="2" applyNumberFormat="1" applyFont="1" applyFill="1" applyBorder="1" applyAlignment="1">
      <alignment horizontal="center" vertical="center"/>
    </xf>
    <xf numFmtId="3" fontId="13" fillId="10" borderId="5" xfId="2" applyNumberFormat="1" applyFont="1" applyFill="1" applyBorder="1" applyAlignment="1">
      <alignment horizontal="center" vertical="center"/>
    </xf>
    <xf numFmtId="0" fontId="13" fillId="10" borderId="8" xfId="2" applyFont="1" applyFill="1" applyBorder="1" applyAlignment="1">
      <alignment horizontal="center" vertical="center" wrapText="1"/>
    </xf>
    <xf numFmtId="43" fontId="13" fillId="10" borderId="7" xfId="1" applyFont="1" applyFill="1" applyBorder="1" applyAlignment="1">
      <alignment horizontal="center" vertical="center"/>
    </xf>
    <xf numFmtId="165" fontId="13" fillId="10" borderId="7" xfId="2" applyNumberFormat="1" applyFont="1" applyFill="1" applyBorder="1" applyAlignment="1">
      <alignment horizontal="center" vertical="center"/>
    </xf>
    <xf numFmtId="3" fontId="13" fillId="10" borderId="9" xfId="2" applyNumberFormat="1" applyFont="1" applyFill="1" applyBorder="1" applyAlignment="1">
      <alignment vertical="center"/>
    </xf>
    <xf numFmtId="164" fontId="13" fillId="5" borderId="11" xfId="1" applyNumberFormat="1" applyFont="1" applyFill="1" applyBorder="1" applyAlignment="1">
      <alignment horizontal="center" vertical="center"/>
    </xf>
    <xf numFmtId="43" fontId="13" fillId="5" borderId="11" xfId="1" applyFont="1" applyFill="1" applyBorder="1" applyAlignment="1">
      <alignment horizontal="center" vertical="center"/>
    </xf>
    <xf numFmtId="4" fontId="13" fillId="5" borderId="11" xfId="2" applyNumberFormat="1" applyFont="1" applyFill="1" applyBorder="1" applyAlignment="1">
      <alignment horizontal="center" vertical="center"/>
    </xf>
    <xf numFmtId="3" fontId="12" fillId="5" borderId="11" xfId="2" applyNumberFormat="1" applyFont="1" applyFill="1" applyBorder="1" applyAlignment="1">
      <alignment horizontal="center" vertical="center"/>
    </xf>
    <xf numFmtId="165" fontId="13" fillId="5" borderId="7" xfId="2" applyNumberFormat="1" applyFont="1" applyFill="1" applyBorder="1" applyAlignment="1">
      <alignment horizontal="center" vertical="center"/>
    </xf>
    <xf numFmtId="3" fontId="13" fillId="5" borderId="11" xfId="2" applyNumberFormat="1" applyFont="1" applyFill="1" applyBorder="1" applyAlignment="1">
      <alignment horizontal="center" vertical="center"/>
    </xf>
    <xf numFmtId="0" fontId="13" fillId="10" borderId="11" xfId="2" applyFont="1" applyFill="1" applyBorder="1" applyAlignment="1">
      <alignment horizontal="center" vertical="center"/>
    </xf>
    <xf numFmtId="164" fontId="13" fillId="10" borderId="11" xfId="1" applyNumberFormat="1" applyFont="1" applyFill="1" applyBorder="1" applyAlignment="1">
      <alignment horizontal="center" vertical="center"/>
    </xf>
    <xf numFmtId="4" fontId="13" fillId="10" borderId="11" xfId="2" applyNumberFormat="1" applyFont="1" applyFill="1" applyBorder="1" applyAlignment="1">
      <alignment horizontal="center" vertical="center"/>
    </xf>
    <xf numFmtId="3" fontId="12" fillId="10" borderId="11" xfId="2" applyNumberFormat="1" applyFont="1" applyFill="1" applyBorder="1" applyAlignment="1">
      <alignment horizontal="center" vertical="center"/>
    </xf>
    <xf numFmtId="43" fontId="13" fillId="10" borderId="11" xfId="1" applyFont="1" applyFill="1" applyBorder="1" applyAlignment="1">
      <alignment horizontal="center" vertical="center"/>
    </xf>
    <xf numFmtId="165" fontId="13" fillId="10" borderId="11" xfId="2" applyNumberFormat="1" applyFont="1" applyFill="1" applyBorder="1" applyAlignment="1">
      <alignment horizontal="center" vertical="center"/>
    </xf>
    <xf numFmtId="3" fontId="13" fillId="10" borderId="11" xfId="2" applyNumberFormat="1" applyFont="1" applyFill="1" applyBorder="1" applyAlignment="1">
      <alignment horizontal="center" vertical="center"/>
    </xf>
    <xf numFmtId="0" fontId="13" fillId="0" borderId="0" xfId="2" quotePrefix="1" applyFont="1" applyAlignment="1">
      <alignment vertical="center"/>
    </xf>
    <xf numFmtId="49" fontId="13" fillId="0" borderId="0" xfId="2" applyNumberFormat="1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169" fontId="13" fillId="0" borderId="11" xfId="1" applyNumberFormat="1" applyFont="1" applyBorder="1" applyAlignment="1">
      <alignment vertical="center"/>
    </xf>
    <xf numFmtId="43" fontId="13" fillId="10" borderId="7" xfId="1" applyNumberFormat="1" applyFont="1" applyFill="1" applyBorder="1" applyAlignment="1">
      <alignment horizontal="center" vertical="center"/>
    </xf>
    <xf numFmtId="14" fontId="11" fillId="5" borderId="11" xfId="2" applyNumberFormat="1" applyFont="1" applyFill="1" applyBorder="1" applyAlignment="1">
      <alignment horizontal="center" vertical="center"/>
    </xf>
    <xf numFmtId="43" fontId="12" fillId="5" borderId="11" xfId="1" applyFont="1" applyFill="1" applyBorder="1" applyAlignment="1">
      <alignment horizontal="center" vertical="center"/>
    </xf>
    <xf numFmtId="0" fontId="13" fillId="0" borderId="11" xfId="2" applyFont="1" applyFill="1" applyBorder="1" applyAlignment="1">
      <alignment vertical="center"/>
    </xf>
    <xf numFmtId="43" fontId="13" fillId="0" borderId="11" xfId="2" applyNumberFormat="1" applyFont="1" applyFill="1" applyBorder="1" applyAlignment="1">
      <alignment vertical="center"/>
    </xf>
    <xf numFmtId="0" fontId="13" fillId="0" borderId="0" xfId="2" applyFont="1" applyFill="1" applyAlignment="1">
      <alignment vertical="center"/>
    </xf>
    <xf numFmtId="0" fontId="13" fillId="0" borderId="0" xfId="2" quotePrefix="1" applyFont="1" applyBorder="1" applyAlignment="1">
      <alignment vertical="center" wrapText="1"/>
    </xf>
    <xf numFmtId="0" fontId="13" fillId="0" borderId="25" xfId="2" quotePrefix="1" applyFont="1" applyBorder="1" applyAlignment="1">
      <alignment vertical="center" wrapText="1"/>
    </xf>
    <xf numFmtId="0" fontId="12" fillId="0" borderId="0" xfId="2" applyFont="1" applyFill="1" applyAlignment="1">
      <alignment vertical="center"/>
    </xf>
    <xf numFmtId="3" fontId="13" fillId="0" borderId="0" xfId="2" applyNumberFormat="1" applyFont="1" applyFill="1" applyAlignment="1">
      <alignment vertical="center"/>
    </xf>
    <xf numFmtId="43" fontId="13" fillId="0" borderId="0" xfId="2" applyNumberFormat="1" applyFont="1" applyFill="1" applyAlignment="1">
      <alignment vertical="center"/>
    </xf>
    <xf numFmtId="43" fontId="13" fillId="0" borderId="4" xfId="1" applyFont="1" applyFill="1" applyBorder="1" applyAlignment="1">
      <alignment horizontal="center" vertical="center"/>
    </xf>
    <xf numFmtId="43" fontId="13" fillId="0" borderId="14" xfId="1" applyFont="1" applyFill="1" applyBorder="1" applyAlignment="1">
      <alignment horizontal="center" vertical="center"/>
    </xf>
    <xf numFmtId="0" fontId="13" fillId="0" borderId="11" xfId="2" applyFont="1" applyFill="1" applyBorder="1" applyAlignment="1">
      <alignment horizontal="center" vertical="center"/>
    </xf>
    <xf numFmtId="164" fontId="13" fillId="0" borderId="11" xfId="1" applyNumberFormat="1" applyFont="1" applyFill="1" applyBorder="1" applyAlignment="1">
      <alignment vertical="center"/>
    </xf>
    <xf numFmtId="166" fontId="13" fillId="0" borderId="11" xfId="1" applyNumberFormat="1" applyFont="1" applyFill="1" applyBorder="1" applyAlignment="1">
      <alignment vertical="center"/>
    </xf>
    <xf numFmtId="167" fontId="15" fillId="0" borderId="11" xfId="1" applyNumberFormat="1" applyFont="1" applyFill="1" applyBorder="1" applyAlignment="1">
      <alignment vertical="center"/>
    </xf>
    <xf numFmtId="166" fontId="15" fillId="0" borderId="11" xfId="1" applyNumberFormat="1" applyFont="1" applyFill="1" applyBorder="1" applyAlignment="1">
      <alignment vertical="center"/>
    </xf>
    <xf numFmtId="164" fontId="15" fillId="0" borderId="11" xfId="1" applyNumberFormat="1" applyFont="1" applyFill="1" applyBorder="1" applyAlignment="1">
      <alignment vertical="center"/>
    </xf>
    <xf numFmtId="43" fontId="15" fillId="0" borderId="11" xfId="1" applyFont="1" applyFill="1" applyBorder="1" applyAlignment="1">
      <alignment vertical="center"/>
    </xf>
    <xf numFmtId="168" fontId="13" fillId="0" borderId="11" xfId="1" applyNumberFormat="1" applyFont="1" applyFill="1" applyBorder="1" applyAlignment="1">
      <alignment vertical="center"/>
    </xf>
    <xf numFmtId="168" fontId="15" fillId="0" borderId="11" xfId="1" applyNumberFormat="1" applyFont="1" applyFill="1" applyBorder="1" applyAlignment="1">
      <alignment vertical="center"/>
    </xf>
    <xf numFmtId="168" fontId="13" fillId="0" borderId="11" xfId="1" applyNumberFormat="1" applyFont="1" applyFill="1" applyBorder="1" applyAlignment="1">
      <alignment horizontal="right" vertical="center"/>
    </xf>
    <xf numFmtId="169" fontId="13" fillId="0" borderId="11" xfId="1" applyNumberFormat="1" applyFont="1" applyFill="1" applyBorder="1" applyAlignment="1">
      <alignment horizontal="right" vertical="center"/>
    </xf>
    <xf numFmtId="170" fontId="13" fillId="0" borderId="11" xfId="1" applyNumberFormat="1" applyFont="1" applyFill="1" applyBorder="1" applyAlignment="1">
      <alignment vertical="center"/>
    </xf>
    <xf numFmtId="171" fontId="13" fillId="0" borderId="11" xfId="1" applyNumberFormat="1" applyFont="1" applyFill="1" applyBorder="1" applyAlignment="1">
      <alignment horizontal="right" vertical="center"/>
    </xf>
    <xf numFmtId="43" fontId="13" fillId="2" borderId="14" xfId="1" applyFont="1" applyFill="1" applyBorder="1" applyAlignment="1">
      <alignment horizontal="center" vertical="center"/>
    </xf>
    <xf numFmtId="0" fontId="13" fillId="5" borderId="14" xfId="2" applyFont="1" applyFill="1" applyBorder="1" applyAlignment="1">
      <alignment horizontal="center" vertical="center"/>
    </xf>
    <xf numFmtId="164" fontId="13" fillId="0" borderId="0" xfId="2" applyNumberFormat="1" applyFont="1" applyAlignment="1">
      <alignment vertical="center"/>
    </xf>
    <xf numFmtId="0" fontId="12" fillId="0" borderId="11" xfId="2" applyFont="1" applyBorder="1" applyAlignment="1">
      <alignment horizontal="center" vertical="center"/>
    </xf>
    <xf numFmtId="43" fontId="13" fillId="0" borderId="22" xfId="1" applyFont="1" applyFill="1" applyBorder="1" applyAlignment="1">
      <alignment horizontal="left" vertical="center" wrapText="1"/>
    </xf>
    <xf numFmtId="43" fontId="13" fillId="0" borderId="26" xfId="1" applyFont="1" applyFill="1" applyBorder="1" applyAlignment="1">
      <alignment horizontal="left" vertical="center" wrapText="1"/>
    </xf>
    <xf numFmtId="43" fontId="13" fillId="0" borderId="23" xfId="1" applyFont="1" applyFill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0" fontId="23" fillId="0" borderId="11" xfId="0" applyFont="1" applyBorder="1" applyAlignment="1">
      <alignment vertical="center" wrapText="1"/>
    </xf>
    <xf numFmtId="43" fontId="22" fillId="0" borderId="11" xfId="1" applyFont="1" applyFill="1" applyBorder="1" applyAlignment="1">
      <alignment vertical="center"/>
    </xf>
    <xf numFmtId="0" fontId="15" fillId="0" borderId="11" xfId="2" applyFont="1" applyFill="1" applyBorder="1" applyAlignment="1">
      <alignment horizontal="center" vertical="center"/>
    </xf>
    <xf numFmtId="0" fontId="13" fillId="2" borderId="11" xfId="1" applyNumberFormat="1" applyFont="1" applyFill="1" applyBorder="1" applyAlignment="1">
      <alignment horizontal="center" vertical="center"/>
    </xf>
    <xf numFmtId="0" fontId="13" fillId="0" borderId="15" xfId="2" applyFont="1" applyBorder="1" applyAlignment="1">
      <alignment vertical="center"/>
    </xf>
    <xf numFmtId="0" fontId="13" fillId="0" borderId="16" xfId="2" applyFont="1" applyBorder="1" applyAlignment="1">
      <alignment vertical="center"/>
    </xf>
    <xf numFmtId="0" fontId="13" fillId="0" borderId="24" xfId="2" applyFont="1" applyBorder="1" applyAlignment="1">
      <alignment vertical="center"/>
    </xf>
    <xf numFmtId="0" fontId="13" fillId="0" borderId="25" xfId="2" applyFont="1" applyBorder="1" applyAlignment="1">
      <alignment vertical="center"/>
    </xf>
    <xf numFmtId="166" fontId="13" fillId="2" borderId="11" xfId="1" applyNumberFormat="1" applyFont="1" applyFill="1" applyBorder="1" applyAlignment="1">
      <alignment vertical="center"/>
    </xf>
    <xf numFmtId="167" fontId="15" fillId="2" borderId="11" xfId="1" applyNumberFormat="1" applyFont="1" applyFill="1" applyBorder="1" applyAlignment="1">
      <alignment vertical="center"/>
    </xf>
    <xf numFmtId="0" fontId="13" fillId="5" borderId="11" xfId="2" applyFont="1" applyFill="1" applyBorder="1" applyAlignment="1">
      <alignment horizontal="center" vertical="center"/>
    </xf>
    <xf numFmtId="0" fontId="13" fillId="5" borderId="14" xfId="2" applyFont="1" applyFill="1" applyBorder="1" applyAlignment="1">
      <alignment horizontal="left" vertical="center"/>
    </xf>
    <xf numFmtId="166" fontId="13" fillId="5" borderId="11" xfId="1" applyNumberFormat="1" applyFont="1" applyFill="1" applyBorder="1" applyAlignment="1">
      <alignment vertical="center"/>
    </xf>
    <xf numFmtId="167" fontId="13" fillId="5" borderId="11" xfId="1" applyNumberFormat="1" applyFont="1" applyFill="1" applyBorder="1" applyAlignment="1">
      <alignment vertical="center"/>
    </xf>
    <xf numFmtId="0" fontId="12" fillId="5" borderId="34" xfId="2" applyFont="1" applyFill="1" applyBorder="1" applyAlignment="1">
      <alignment horizontal="center" vertical="center"/>
    </xf>
    <xf numFmtId="0" fontId="13" fillId="5" borderId="22" xfId="2" applyFont="1" applyFill="1" applyBorder="1" applyAlignment="1">
      <alignment horizontal="center" vertical="center" wrapText="1"/>
    </xf>
    <xf numFmtId="0" fontId="13" fillId="5" borderId="26" xfId="2" applyFont="1" applyFill="1" applyBorder="1" applyAlignment="1">
      <alignment horizontal="center" vertical="center" wrapText="1"/>
    </xf>
    <xf numFmtId="0" fontId="13" fillId="5" borderId="23" xfId="2" applyFont="1" applyFill="1" applyBorder="1" applyAlignment="1">
      <alignment horizontal="center" vertical="center" wrapText="1"/>
    </xf>
    <xf numFmtId="170" fontId="13" fillId="2" borderId="11" xfId="1" applyNumberFormat="1" applyFont="1" applyFill="1" applyBorder="1" applyAlignment="1">
      <alignment vertical="center"/>
    </xf>
    <xf numFmtId="168" fontId="13" fillId="2" borderId="11" xfId="1" applyNumberFormat="1" applyFont="1" applyFill="1" applyBorder="1" applyAlignment="1">
      <alignment vertical="center"/>
    </xf>
    <xf numFmtId="171" fontId="13" fillId="2" borderId="11" xfId="1" applyNumberFormat="1" applyFont="1" applyFill="1" applyBorder="1" applyAlignment="1">
      <alignment vertical="center"/>
    </xf>
    <xf numFmtId="169" fontId="13" fillId="2" borderId="11" xfId="1" applyNumberFormat="1" applyFont="1" applyFill="1" applyBorder="1" applyAlignment="1">
      <alignment vertical="center"/>
    </xf>
    <xf numFmtId="0" fontId="12" fillId="5" borderId="34" xfId="2" applyFont="1" applyFill="1" applyBorder="1" applyAlignment="1">
      <alignment horizontal="center" vertical="center"/>
    </xf>
    <xf numFmtId="0" fontId="13" fillId="5" borderId="22" xfId="2" applyFont="1" applyFill="1" applyBorder="1" applyAlignment="1">
      <alignment horizontal="center" vertical="center" wrapText="1"/>
    </xf>
    <xf numFmtId="0" fontId="13" fillId="5" borderId="26" xfId="2" applyFont="1" applyFill="1" applyBorder="1" applyAlignment="1">
      <alignment horizontal="center" vertical="center" wrapText="1"/>
    </xf>
    <xf numFmtId="0" fontId="13" fillId="5" borderId="23" xfId="2" applyFont="1" applyFill="1" applyBorder="1" applyAlignment="1">
      <alignment horizontal="center" vertical="center" wrapText="1"/>
    </xf>
    <xf numFmtId="166" fontId="22" fillId="0" borderId="11" xfId="1" applyNumberFormat="1" applyFont="1" applyFill="1" applyBorder="1" applyAlignment="1">
      <alignment vertical="center"/>
    </xf>
    <xf numFmtId="49" fontId="13" fillId="0" borderId="0" xfId="2" quotePrefix="1" applyNumberFormat="1" applyFont="1" applyAlignment="1">
      <alignment horizontal="left" vertical="center"/>
    </xf>
    <xf numFmtId="49" fontId="13" fillId="0" borderId="0" xfId="2" applyNumberFormat="1" applyFont="1" applyAlignment="1">
      <alignment horizontal="left" vertical="center"/>
    </xf>
    <xf numFmtId="0" fontId="15" fillId="0" borderId="22" xfId="2" applyFont="1" applyFill="1" applyBorder="1" applyAlignment="1">
      <alignment horizontal="left" vertical="center"/>
    </xf>
    <xf numFmtId="0" fontId="15" fillId="0" borderId="23" xfId="2" applyFont="1" applyFill="1" applyBorder="1" applyAlignment="1">
      <alignment horizontal="left" vertical="center"/>
    </xf>
    <xf numFmtId="0" fontId="15" fillId="2" borderId="22" xfId="2" applyFont="1" applyFill="1" applyBorder="1" applyAlignment="1">
      <alignment horizontal="left" vertical="center"/>
    </xf>
    <xf numFmtId="0" fontId="15" fillId="2" borderId="23" xfId="2" applyFont="1" applyFill="1" applyBorder="1" applyAlignment="1">
      <alignment horizontal="left" vertical="center"/>
    </xf>
    <xf numFmtId="164" fontId="13" fillId="0" borderId="22" xfId="1" applyNumberFormat="1" applyFont="1" applyFill="1" applyBorder="1" applyAlignment="1">
      <alignment horizontal="center" vertical="center"/>
    </xf>
    <xf numFmtId="164" fontId="13" fillId="0" borderId="23" xfId="1" applyNumberFormat="1" applyFont="1" applyFill="1" applyBorder="1" applyAlignment="1">
      <alignment horizontal="center" vertical="center"/>
    </xf>
    <xf numFmtId="43" fontId="13" fillId="0" borderId="22" xfId="1" applyFont="1" applyFill="1" applyBorder="1" applyAlignment="1">
      <alignment horizontal="left" vertical="center"/>
    </xf>
    <xf numFmtId="43" fontId="13" fillId="0" borderId="26" xfId="1" applyFont="1" applyFill="1" applyBorder="1" applyAlignment="1">
      <alignment horizontal="left" vertical="center"/>
    </xf>
    <xf numFmtId="43" fontId="13" fillId="0" borderId="23" xfId="1" applyFont="1" applyFill="1" applyBorder="1" applyAlignment="1">
      <alignment horizontal="left" vertical="center"/>
    </xf>
    <xf numFmtId="43" fontId="13" fillId="0" borderId="22" xfId="1" applyFont="1" applyFill="1" applyBorder="1" applyAlignment="1">
      <alignment horizontal="left" vertical="center" wrapText="1"/>
    </xf>
    <xf numFmtId="43" fontId="13" fillId="0" borderId="26" xfId="1" applyFont="1" applyFill="1" applyBorder="1" applyAlignment="1">
      <alignment horizontal="left" vertical="center" wrapText="1"/>
    </xf>
    <xf numFmtId="43" fontId="13" fillId="0" borderId="23" xfId="1" applyFont="1" applyFill="1" applyBorder="1" applyAlignment="1">
      <alignment horizontal="left" vertical="center" wrapText="1"/>
    </xf>
    <xf numFmtId="164" fontId="13" fillId="2" borderId="22" xfId="1" applyNumberFormat="1" applyFont="1" applyFill="1" applyBorder="1" applyAlignment="1">
      <alignment horizontal="center" vertical="center"/>
    </xf>
    <xf numFmtId="164" fontId="13" fillId="2" borderId="23" xfId="1" applyNumberFormat="1" applyFont="1" applyFill="1" applyBorder="1" applyAlignment="1">
      <alignment horizontal="center" vertical="center"/>
    </xf>
    <xf numFmtId="43" fontId="13" fillId="0" borderId="22" xfId="1" applyFont="1" applyBorder="1" applyAlignment="1">
      <alignment horizontal="center" vertical="center"/>
    </xf>
    <xf numFmtId="43" fontId="13" fillId="0" borderId="26" xfId="1" applyFont="1" applyBorder="1" applyAlignment="1">
      <alignment horizontal="center" vertical="center"/>
    </xf>
    <xf numFmtId="43" fontId="13" fillId="0" borderId="23" xfId="1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 wrapText="1"/>
    </xf>
    <xf numFmtId="0" fontId="12" fillId="0" borderId="31" xfId="2" applyFont="1" applyBorder="1" applyAlignment="1">
      <alignment horizontal="center" vertical="center" wrapText="1"/>
    </xf>
    <xf numFmtId="165" fontId="13" fillId="0" borderId="32" xfId="2" applyNumberFormat="1" applyFont="1" applyBorder="1" applyAlignment="1">
      <alignment horizontal="center" vertical="center"/>
    </xf>
    <xf numFmtId="165" fontId="13" fillId="0" borderId="33" xfId="2" applyNumberFormat="1" applyFont="1" applyBorder="1" applyAlignment="1">
      <alignment horizontal="center" vertical="center"/>
    </xf>
    <xf numFmtId="0" fontId="12" fillId="10" borderId="12" xfId="2" applyFont="1" applyFill="1" applyBorder="1" applyAlignment="1">
      <alignment horizontal="center" vertical="center" wrapText="1"/>
    </xf>
    <xf numFmtId="0" fontId="12" fillId="10" borderId="19" xfId="2" applyFont="1" applyFill="1" applyBorder="1" applyAlignment="1">
      <alignment horizontal="center" vertical="center" wrapText="1"/>
    </xf>
    <xf numFmtId="4" fontId="13" fillId="10" borderId="32" xfId="2" applyNumberFormat="1" applyFont="1" applyFill="1" applyBorder="1" applyAlignment="1">
      <alignment horizontal="center" vertical="center"/>
    </xf>
    <xf numFmtId="4" fontId="13" fillId="10" borderId="33" xfId="2" applyNumberFormat="1" applyFont="1" applyFill="1" applyBorder="1" applyAlignment="1">
      <alignment horizontal="center" vertical="center"/>
    </xf>
    <xf numFmtId="164" fontId="13" fillId="0" borderId="22" xfId="1" applyNumberFormat="1" applyFont="1" applyBorder="1" applyAlignment="1">
      <alignment horizontal="center" vertical="center"/>
    </xf>
    <xf numFmtId="164" fontId="13" fillId="0" borderId="23" xfId="1" applyNumberFormat="1" applyFont="1" applyBorder="1" applyAlignment="1">
      <alignment horizontal="center" vertical="center"/>
    </xf>
    <xf numFmtId="0" fontId="12" fillId="0" borderId="22" xfId="2" applyFont="1" applyBorder="1" applyAlignment="1">
      <alignment horizontal="center" vertical="center"/>
    </xf>
    <xf numFmtId="0" fontId="12" fillId="0" borderId="23" xfId="2" applyFont="1" applyBorder="1" applyAlignment="1">
      <alignment horizontal="center" vertical="center"/>
    </xf>
    <xf numFmtId="0" fontId="12" fillId="0" borderId="0" xfId="3" applyFont="1" applyBorder="1" applyAlignment="1">
      <alignment horizontal="left" vertical="center"/>
    </xf>
    <xf numFmtId="0" fontId="12" fillId="0" borderId="11" xfId="2" applyFont="1" applyBorder="1" applyAlignment="1">
      <alignment horizontal="center" vertical="center"/>
    </xf>
    <xf numFmtId="0" fontId="13" fillId="0" borderId="15" xfId="2" quotePrefix="1" applyFont="1" applyBorder="1" applyAlignment="1">
      <alignment horizontal="left" vertical="center" wrapText="1"/>
    </xf>
    <xf numFmtId="0" fontId="13" fillId="0" borderId="27" xfId="2" quotePrefix="1" applyFont="1" applyBorder="1" applyAlignment="1">
      <alignment horizontal="left" vertical="center" wrapText="1"/>
    </xf>
    <xf numFmtId="0" fontId="13" fillId="0" borderId="16" xfId="2" quotePrefix="1" applyFont="1" applyBorder="1" applyAlignment="1">
      <alignment horizontal="left" vertical="center" wrapText="1"/>
    </xf>
    <xf numFmtId="0" fontId="13" fillId="0" borderId="24" xfId="2" quotePrefix="1" applyFont="1" applyBorder="1" applyAlignment="1">
      <alignment horizontal="left" vertical="center" wrapText="1"/>
    </xf>
    <xf numFmtId="0" fontId="13" fillId="0" borderId="0" xfId="2" quotePrefix="1" applyFont="1" applyBorder="1" applyAlignment="1">
      <alignment horizontal="left" vertical="center" wrapText="1"/>
    </xf>
    <xf numFmtId="0" fontId="13" fillId="0" borderId="25" xfId="2" quotePrefix="1" applyFont="1" applyBorder="1" applyAlignment="1">
      <alignment horizontal="left" vertical="center" wrapText="1"/>
    </xf>
    <xf numFmtId="0" fontId="13" fillId="0" borderId="20" xfId="2" quotePrefix="1" applyFont="1" applyBorder="1" applyAlignment="1">
      <alignment horizontal="left" vertical="center" wrapText="1"/>
    </xf>
    <xf numFmtId="0" fontId="13" fillId="0" borderId="28" xfId="2" quotePrefix="1" applyFont="1" applyBorder="1" applyAlignment="1">
      <alignment horizontal="left" vertical="center" wrapText="1"/>
    </xf>
    <xf numFmtId="0" fontId="13" fillId="0" borderId="21" xfId="2" quotePrefix="1" applyFont="1" applyBorder="1" applyAlignment="1">
      <alignment horizontal="left" vertical="center" wrapText="1"/>
    </xf>
    <xf numFmtId="0" fontId="15" fillId="5" borderId="22" xfId="2" applyFont="1" applyFill="1" applyBorder="1" applyAlignment="1">
      <alignment horizontal="left" vertical="center"/>
    </xf>
    <xf numFmtId="0" fontId="15" fillId="5" borderId="23" xfId="2" applyFont="1" applyFill="1" applyBorder="1" applyAlignment="1">
      <alignment horizontal="left" vertical="center"/>
    </xf>
    <xf numFmtId="2" fontId="18" fillId="0" borderId="11" xfId="2" applyNumberFormat="1" applyFont="1" applyBorder="1" applyAlignment="1">
      <alignment horizontal="center" vertical="center"/>
    </xf>
    <xf numFmtId="43" fontId="18" fillId="0" borderId="11" xfId="1" applyNumberFormat="1" applyFont="1" applyFill="1" applyBorder="1" applyAlignment="1">
      <alignment horizontal="center" vertical="center"/>
    </xf>
    <xf numFmtId="43" fontId="18" fillId="0" borderId="11" xfId="1" applyFont="1" applyFill="1" applyBorder="1" applyAlignment="1">
      <alignment horizontal="center" vertical="center"/>
    </xf>
    <xf numFmtId="43" fontId="20" fillId="0" borderId="11" xfId="1" applyFont="1" applyFill="1" applyBorder="1" applyAlignment="1">
      <alignment horizontal="center" vertical="center"/>
    </xf>
    <xf numFmtId="43" fontId="18" fillId="5" borderId="11" xfId="1" applyFont="1" applyFill="1" applyBorder="1" applyAlignment="1">
      <alignment horizontal="center" vertical="center"/>
    </xf>
    <xf numFmtId="0" fontId="12" fillId="0" borderId="13" xfId="2" applyFont="1" applyBorder="1" applyAlignment="1">
      <alignment horizontal="center" vertical="center" wrapText="1"/>
    </xf>
    <xf numFmtId="4" fontId="13" fillId="0" borderId="15" xfId="2" applyNumberFormat="1" applyFont="1" applyBorder="1" applyAlignment="1">
      <alignment horizontal="center" vertical="center"/>
    </xf>
    <xf numFmtId="4" fontId="13" fillId="0" borderId="16" xfId="2" applyNumberFormat="1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 wrapText="1"/>
    </xf>
    <xf numFmtId="0" fontId="12" fillId="0" borderId="6" xfId="2" applyFont="1" applyBorder="1" applyAlignment="1">
      <alignment horizontal="center" vertical="center" wrapText="1"/>
    </xf>
    <xf numFmtId="4" fontId="13" fillId="0" borderId="7" xfId="2" applyNumberFormat="1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 wrapText="1"/>
    </xf>
    <xf numFmtId="0" fontId="13" fillId="0" borderId="24" xfId="2" applyFont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6" fillId="6" borderId="14" xfId="2" applyFont="1" applyFill="1" applyBorder="1" applyAlignment="1">
      <alignment horizontal="center" vertical="center" wrapText="1"/>
    </xf>
    <xf numFmtId="0" fontId="16" fillId="6" borderId="29" xfId="2" applyFont="1" applyFill="1" applyBorder="1" applyAlignment="1">
      <alignment horizontal="center" vertical="center" wrapText="1"/>
    </xf>
    <xf numFmtId="43" fontId="16" fillId="5" borderId="22" xfId="1" applyFont="1" applyFill="1" applyBorder="1" applyAlignment="1">
      <alignment horizontal="center" vertical="center"/>
    </xf>
    <xf numFmtId="43" fontId="16" fillId="5" borderId="23" xfId="1" applyFont="1" applyFill="1" applyBorder="1" applyAlignment="1">
      <alignment horizontal="center" vertical="center"/>
    </xf>
    <xf numFmtId="43" fontId="17" fillId="0" borderId="11" xfId="1" applyFont="1" applyBorder="1" applyAlignment="1">
      <alignment horizontal="center" vertical="center"/>
    </xf>
    <xf numFmtId="0" fontId="13" fillId="0" borderId="15" xfId="2" applyFont="1" applyBorder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0" fontId="13" fillId="0" borderId="25" xfId="2" applyFont="1" applyBorder="1" applyAlignment="1">
      <alignment horizontal="center" vertical="center"/>
    </xf>
    <xf numFmtId="0" fontId="13" fillId="0" borderId="20" xfId="2" applyFont="1" applyBorder="1" applyAlignment="1">
      <alignment horizontal="center" vertical="center"/>
    </xf>
    <xf numFmtId="0" fontId="13" fillId="0" borderId="21" xfId="2" applyFont="1" applyBorder="1" applyAlignment="1">
      <alignment horizontal="center" vertical="center"/>
    </xf>
    <xf numFmtId="43" fontId="19" fillId="5" borderId="11" xfId="1" applyFont="1" applyFill="1" applyBorder="1" applyAlignment="1">
      <alignment horizontal="center" vertical="center"/>
    </xf>
    <xf numFmtId="0" fontId="16" fillId="6" borderId="11" xfId="2" applyFont="1" applyFill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3" fontId="12" fillId="0" borderId="3" xfId="2" applyNumberFormat="1" applyFont="1" applyBorder="1" applyAlignment="1">
      <alignment horizontal="center" vertical="center" wrapText="1"/>
    </xf>
    <xf numFmtId="3" fontId="12" fillId="0" borderId="8" xfId="2" applyNumberFormat="1" applyFont="1" applyBorder="1" applyAlignment="1">
      <alignment horizontal="center" vertical="center" wrapText="1"/>
    </xf>
    <xf numFmtId="0" fontId="18" fillId="0" borderId="11" xfId="2" applyFont="1" applyBorder="1" applyAlignment="1">
      <alignment horizontal="center" vertical="center"/>
    </xf>
    <xf numFmtId="0" fontId="12" fillId="0" borderId="0" xfId="2" applyFont="1" applyAlignment="1">
      <alignment horizontal="left" vertical="center" wrapText="1"/>
    </xf>
    <xf numFmtId="0" fontId="16" fillId="0" borderId="11" xfId="2" applyFont="1" applyBorder="1" applyAlignment="1">
      <alignment horizontal="center" vertical="center"/>
    </xf>
    <xf numFmtId="0" fontId="16" fillId="0" borderId="11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/>
    </xf>
    <xf numFmtId="0" fontId="12" fillId="0" borderId="16" xfId="2" applyFont="1" applyBorder="1" applyAlignment="1">
      <alignment horizontal="center" vertical="center"/>
    </xf>
    <xf numFmtId="0" fontId="12" fillId="0" borderId="20" xfId="2" applyFont="1" applyBorder="1" applyAlignment="1">
      <alignment horizontal="center" vertical="center"/>
    </xf>
    <xf numFmtId="0" fontId="12" fillId="0" borderId="21" xfId="2" applyFont="1" applyBorder="1" applyAlignment="1">
      <alignment horizontal="center" vertical="center"/>
    </xf>
    <xf numFmtId="0" fontId="13" fillId="11" borderId="15" xfId="2" applyFont="1" applyFill="1" applyBorder="1" applyAlignment="1">
      <alignment horizontal="center" vertical="center"/>
    </xf>
    <xf numFmtId="0" fontId="13" fillId="11" borderId="16" xfId="2" applyFont="1" applyFill="1" applyBorder="1" applyAlignment="1">
      <alignment horizontal="center" vertical="center"/>
    </xf>
    <xf numFmtId="0" fontId="13" fillId="11" borderId="24" xfId="2" applyFont="1" applyFill="1" applyBorder="1" applyAlignment="1">
      <alignment horizontal="center" vertical="center"/>
    </xf>
    <xf numFmtId="0" fontId="13" fillId="11" borderId="25" xfId="2" applyFont="1" applyFill="1" applyBorder="1" applyAlignment="1">
      <alignment horizontal="center" vertical="center"/>
    </xf>
    <xf numFmtId="0" fontId="16" fillId="6" borderId="11" xfId="2" applyFont="1" applyFill="1" applyBorder="1" applyAlignment="1">
      <alignment horizontal="center" vertical="center"/>
    </xf>
    <xf numFmtId="43" fontId="16" fillId="0" borderId="11" xfId="1" applyFont="1" applyFill="1" applyBorder="1" applyAlignment="1">
      <alignment horizontal="center" vertical="center"/>
    </xf>
    <xf numFmtId="43" fontId="16" fillId="5" borderId="11" xfId="1" applyFont="1" applyFill="1" applyBorder="1" applyAlignment="1">
      <alignment horizontal="center" vertical="center"/>
    </xf>
    <xf numFmtId="43" fontId="19" fillId="0" borderId="11" xfId="1" applyFont="1" applyFill="1" applyBorder="1" applyAlignment="1">
      <alignment horizontal="center" vertical="center"/>
    </xf>
    <xf numFmtId="0" fontId="16" fillId="7" borderId="11" xfId="2" applyFont="1" applyFill="1" applyBorder="1" applyAlignment="1">
      <alignment horizontal="center" vertical="center"/>
    </xf>
    <xf numFmtId="43" fontId="16" fillId="0" borderId="11" xfId="1" applyFont="1" applyBorder="1" applyAlignment="1">
      <alignment horizontal="center" vertical="center"/>
    </xf>
    <xf numFmtId="43" fontId="21" fillId="0" borderId="11" xfId="1" applyFont="1" applyFill="1" applyBorder="1" applyAlignment="1">
      <alignment horizontal="center" vertical="center"/>
    </xf>
    <xf numFmtId="0" fontId="16" fillId="8" borderId="11" xfId="2" applyFont="1" applyFill="1" applyBorder="1" applyAlignment="1">
      <alignment horizontal="center" vertical="center"/>
    </xf>
    <xf numFmtId="0" fontId="13" fillId="5" borderId="11" xfId="2" applyFont="1" applyFill="1" applyBorder="1" applyAlignment="1">
      <alignment horizontal="center" vertical="center"/>
    </xf>
    <xf numFmtId="43" fontId="21" fillId="0" borderId="22" xfId="1" applyFont="1" applyFill="1" applyBorder="1" applyAlignment="1">
      <alignment horizontal="center" vertical="center"/>
    </xf>
    <xf numFmtId="43" fontId="21" fillId="0" borderId="23" xfId="1" applyFont="1" applyFill="1" applyBorder="1" applyAlignment="1">
      <alignment horizontal="center" vertical="center"/>
    </xf>
    <xf numFmtId="164" fontId="15" fillId="0" borderId="22" xfId="1" applyNumberFormat="1" applyFont="1" applyFill="1" applyBorder="1" applyAlignment="1">
      <alignment horizontal="center" vertical="center"/>
    </xf>
    <xf numFmtId="164" fontId="15" fillId="0" borderId="23" xfId="1" applyNumberFormat="1" applyFont="1" applyFill="1" applyBorder="1" applyAlignment="1">
      <alignment horizontal="center" vertical="center"/>
    </xf>
    <xf numFmtId="164" fontId="15" fillId="5" borderId="22" xfId="1" applyNumberFormat="1" applyFont="1" applyFill="1" applyBorder="1" applyAlignment="1">
      <alignment horizontal="center" vertical="center"/>
    </xf>
    <xf numFmtId="164" fontId="15" fillId="5" borderId="23" xfId="1" applyNumberFormat="1" applyFont="1" applyFill="1" applyBorder="1" applyAlignment="1">
      <alignment horizontal="center" vertical="center"/>
    </xf>
    <xf numFmtId="164" fontId="15" fillId="2" borderId="22" xfId="1" applyNumberFormat="1" applyFont="1" applyFill="1" applyBorder="1" applyAlignment="1">
      <alignment horizontal="center" vertical="center"/>
    </xf>
    <xf numFmtId="164" fontId="15" fillId="2" borderId="23" xfId="1" applyNumberFormat="1" applyFont="1" applyFill="1" applyBorder="1" applyAlignment="1">
      <alignment horizontal="center" vertical="center"/>
    </xf>
    <xf numFmtId="0" fontId="12" fillId="0" borderId="11" xfId="2" applyFont="1" applyBorder="1" applyAlignment="1">
      <alignment horizontal="center" vertical="center" wrapText="1"/>
    </xf>
    <xf numFmtId="2" fontId="12" fillId="0" borderId="11" xfId="2" applyNumberFormat="1" applyFont="1" applyBorder="1" applyAlignment="1">
      <alignment horizontal="center" vertical="center" wrapText="1"/>
    </xf>
    <xf numFmtId="43" fontId="18" fillId="0" borderId="11" xfId="2" applyNumberFormat="1" applyFont="1" applyBorder="1" applyAlignment="1">
      <alignment horizontal="center" vertical="center"/>
    </xf>
    <xf numFmtId="0" fontId="13" fillId="0" borderId="11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3" fillId="0" borderId="22" xfId="2" applyFont="1" applyBorder="1" applyAlignment="1">
      <alignment horizontal="left" vertical="center"/>
    </xf>
    <xf numFmtId="0" fontId="13" fillId="0" borderId="23" xfId="2" applyFont="1" applyBorder="1" applyAlignment="1">
      <alignment horizontal="left" vertical="center"/>
    </xf>
    <xf numFmtId="0" fontId="12" fillId="5" borderId="11" xfId="2" applyFont="1" applyFill="1" applyBorder="1" applyAlignment="1">
      <alignment horizontal="center" vertical="center"/>
    </xf>
    <xf numFmtId="0" fontId="15" fillId="0" borderId="15" xfId="2" applyFont="1" applyBorder="1" applyAlignment="1">
      <alignment horizontal="center" vertical="center" wrapText="1"/>
    </xf>
    <xf numFmtId="0" fontId="15" fillId="0" borderId="16" xfId="2" applyFont="1" applyBorder="1" applyAlignment="1">
      <alignment horizontal="center" vertical="center"/>
    </xf>
    <xf numFmtId="0" fontId="13" fillId="5" borderId="22" xfId="2" applyFont="1" applyFill="1" applyBorder="1" applyAlignment="1">
      <alignment horizontal="center" vertical="center" wrapText="1"/>
    </xf>
    <xf numFmtId="0" fontId="13" fillId="5" borderId="26" xfId="2" applyFont="1" applyFill="1" applyBorder="1" applyAlignment="1">
      <alignment horizontal="center" vertical="center" wrapText="1"/>
    </xf>
    <xf numFmtId="0" fontId="13" fillId="5" borderId="23" xfId="2" applyFont="1" applyFill="1" applyBorder="1" applyAlignment="1">
      <alignment horizontal="center" vertical="center" wrapText="1"/>
    </xf>
    <xf numFmtId="0" fontId="15" fillId="0" borderId="22" xfId="2" applyFont="1" applyBorder="1" applyAlignment="1">
      <alignment horizontal="center" vertical="center" wrapText="1"/>
    </xf>
    <xf numFmtId="0" fontId="15" fillId="0" borderId="23" xfId="2" applyFont="1" applyBorder="1" applyAlignment="1">
      <alignment horizontal="center" vertical="center" wrapText="1"/>
    </xf>
    <xf numFmtId="0" fontId="12" fillId="5" borderId="22" xfId="2" applyFont="1" applyFill="1" applyBorder="1" applyAlignment="1">
      <alignment horizontal="center" vertical="center" wrapText="1"/>
    </xf>
    <xf numFmtId="0" fontId="12" fillId="5" borderId="23" xfId="2" applyFont="1" applyFill="1" applyBorder="1" applyAlignment="1">
      <alignment horizontal="center" vertical="center" wrapText="1"/>
    </xf>
    <xf numFmtId="0" fontId="12" fillId="5" borderId="26" xfId="2" applyFont="1" applyFill="1" applyBorder="1" applyAlignment="1">
      <alignment horizontal="center" vertical="center" wrapText="1"/>
    </xf>
    <xf numFmtId="0" fontId="12" fillId="5" borderId="14" xfId="2" applyFont="1" applyFill="1" applyBorder="1" applyAlignment="1">
      <alignment horizontal="center" vertical="center"/>
    </xf>
    <xf numFmtId="0" fontId="12" fillId="5" borderId="34" xfId="2" applyFont="1" applyFill="1" applyBorder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3" fillId="5" borderId="14" xfId="2" applyFont="1" applyFill="1" applyBorder="1" applyAlignment="1">
      <alignment horizontal="left" vertical="center" wrapText="1"/>
    </xf>
    <xf numFmtId="0" fontId="13" fillId="5" borderId="29" xfId="2" applyFont="1" applyFill="1" applyBorder="1" applyAlignment="1">
      <alignment horizontal="left" vertical="center" wrapText="1"/>
    </xf>
    <xf numFmtId="0" fontId="13" fillId="5" borderId="14" xfId="2" applyFont="1" applyFill="1" applyBorder="1" applyAlignment="1">
      <alignment horizontal="center" vertical="center"/>
    </xf>
    <xf numFmtId="0" fontId="13" fillId="5" borderId="29" xfId="2" applyFont="1" applyFill="1" applyBorder="1" applyAlignment="1">
      <alignment horizontal="center" vertical="center"/>
    </xf>
    <xf numFmtId="4" fontId="13" fillId="5" borderId="22" xfId="2" applyNumberFormat="1" applyFont="1" applyFill="1" applyBorder="1" applyAlignment="1">
      <alignment horizontal="center" vertical="center"/>
    </xf>
    <xf numFmtId="4" fontId="13" fillId="5" borderId="23" xfId="2" applyNumberFormat="1" applyFont="1" applyFill="1" applyBorder="1" applyAlignment="1">
      <alignment horizontal="center" vertical="center"/>
    </xf>
    <xf numFmtId="4" fontId="13" fillId="5" borderId="32" xfId="2" applyNumberFormat="1" applyFont="1" applyFill="1" applyBorder="1" applyAlignment="1">
      <alignment horizontal="center" vertical="center"/>
    </xf>
    <xf numFmtId="4" fontId="13" fillId="5" borderId="33" xfId="2" applyNumberFormat="1" applyFont="1" applyFill="1" applyBorder="1" applyAlignment="1">
      <alignment horizontal="center" vertical="center"/>
    </xf>
    <xf numFmtId="0" fontId="12" fillId="10" borderId="14" xfId="2" applyFont="1" applyFill="1" applyBorder="1" applyAlignment="1">
      <alignment horizontal="center" vertical="center" wrapText="1"/>
    </xf>
    <xf numFmtId="0" fontId="12" fillId="10" borderId="29" xfId="2" applyFont="1" applyFill="1" applyBorder="1" applyAlignment="1">
      <alignment horizontal="center" vertical="center" wrapText="1"/>
    </xf>
    <xf numFmtId="4" fontId="13" fillId="10" borderId="22" xfId="2" applyNumberFormat="1" applyFont="1" applyFill="1" applyBorder="1" applyAlignment="1">
      <alignment horizontal="center" vertical="center"/>
    </xf>
    <xf numFmtId="4" fontId="13" fillId="10" borderId="23" xfId="2" applyNumberFormat="1" applyFont="1" applyFill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20" fillId="0" borderId="0" xfId="2" applyFont="1" applyAlignment="1">
      <alignment horizontal="center" vertical="center"/>
    </xf>
    <xf numFmtId="49" fontId="12" fillId="0" borderId="0" xfId="2" applyNumberFormat="1" applyFont="1" applyAlignment="1">
      <alignment horizontal="left" vertical="center"/>
    </xf>
    <xf numFmtId="0" fontId="12" fillId="0" borderId="27" xfId="2" quotePrefix="1" applyFont="1" applyBorder="1" applyAlignment="1">
      <alignment horizontal="left" vertical="center" wrapText="1"/>
    </xf>
    <xf numFmtId="43" fontId="13" fillId="5" borderId="22" xfId="1" applyNumberFormat="1" applyFont="1" applyFill="1" applyBorder="1" applyAlignment="1">
      <alignment horizontal="center" vertical="center"/>
    </xf>
    <xf numFmtId="43" fontId="13" fillId="5" borderId="23" xfId="1" applyNumberFormat="1" applyFont="1" applyFill="1" applyBorder="1" applyAlignment="1">
      <alignment horizontal="center" vertical="center"/>
    </xf>
    <xf numFmtId="43" fontId="13" fillId="0" borderId="15" xfId="1" applyFont="1" applyFill="1" applyBorder="1" applyAlignment="1">
      <alignment horizontal="left" vertical="center" wrapText="1"/>
    </xf>
    <xf numFmtId="43" fontId="13" fillId="0" borderId="27" xfId="1" applyFont="1" applyFill="1" applyBorder="1" applyAlignment="1">
      <alignment horizontal="left" vertical="center" wrapText="1"/>
    </xf>
    <xf numFmtId="43" fontId="13" fillId="0" borderId="16" xfId="1" applyFont="1" applyFill="1" applyBorder="1" applyAlignment="1">
      <alignment horizontal="left" vertical="center" wrapText="1"/>
    </xf>
    <xf numFmtId="0" fontId="15" fillId="0" borderId="16" xfId="2" applyFont="1" applyBorder="1" applyAlignment="1">
      <alignment horizontal="center" vertical="center" wrapText="1"/>
    </xf>
    <xf numFmtId="0" fontId="13" fillId="5" borderId="34" xfId="2" applyFont="1" applyFill="1" applyBorder="1" applyAlignment="1">
      <alignment horizontal="center" vertical="center"/>
    </xf>
    <xf numFmtId="0" fontId="13" fillId="5" borderId="14" xfId="2" applyFont="1" applyFill="1" applyBorder="1" applyAlignment="1">
      <alignment horizontal="left" vertical="center"/>
    </xf>
    <xf numFmtId="0" fontId="13" fillId="5" borderId="34" xfId="2" applyFont="1" applyFill="1" applyBorder="1" applyAlignment="1">
      <alignment horizontal="left" vertical="center"/>
    </xf>
    <xf numFmtId="0" fontId="13" fillId="5" borderId="29" xfId="2" applyFont="1" applyFill="1" applyBorder="1" applyAlignment="1">
      <alignment horizontal="left" vertical="center"/>
    </xf>
    <xf numFmtId="0" fontId="11" fillId="0" borderId="22" xfId="2" applyFont="1" applyBorder="1" applyAlignment="1">
      <alignment horizontal="left" vertical="center"/>
    </xf>
    <xf numFmtId="0" fontId="11" fillId="0" borderId="23" xfId="2" applyFont="1" applyBorder="1" applyAlignment="1">
      <alignment horizontal="left" vertical="center"/>
    </xf>
    <xf numFmtId="0" fontId="10" fillId="0" borderId="22" xfId="2" applyFont="1" applyBorder="1" applyAlignment="1">
      <alignment horizontal="center" vertical="center"/>
    </xf>
    <xf numFmtId="0" fontId="10" fillId="0" borderId="23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11" fillId="0" borderId="24" xfId="2" quotePrefix="1" applyFont="1" applyBorder="1" applyAlignment="1">
      <alignment horizontal="left" vertical="center" wrapText="1"/>
    </xf>
    <xf numFmtId="0" fontId="11" fillId="0" borderId="0" xfId="2" applyFont="1" applyAlignment="1">
      <alignment horizontal="left" vertical="center" wrapText="1"/>
    </xf>
    <xf numFmtId="0" fontId="11" fillId="0" borderId="25" xfId="2" applyFont="1" applyBorder="1" applyAlignment="1">
      <alignment horizontal="left" vertical="center" wrapText="1"/>
    </xf>
    <xf numFmtId="0" fontId="11" fillId="0" borderId="24" xfId="2" quotePrefix="1" applyFont="1" applyBorder="1" applyAlignment="1">
      <alignment horizontal="left" vertical="top" wrapText="1"/>
    </xf>
    <xf numFmtId="0" fontId="11" fillId="0" borderId="0" xfId="2" quotePrefix="1" applyFont="1" applyBorder="1" applyAlignment="1">
      <alignment horizontal="left" vertical="top" wrapText="1"/>
    </xf>
    <xf numFmtId="0" fontId="11" fillId="0" borderId="25" xfId="2" quotePrefix="1" applyFont="1" applyBorder="1" applyAlignment="1">
      <alignment horizontal="left" vertical="top" wrapText="1"/>
    </xf>
    <xf numFmtId="0" fontId="11" fillId="0" borderId="20" xfId="2" quotePrefix="1" applyFont="1" applyBorder="1" applyAlignment="1">
      <alignment horizontal="left" vertical="top" wrapText="1"/>
    </xf>
    <xf numFmtId="0" fontId="11" fillId="0" borderId="28" xfId="2" quotePrefix="1" applyFont="1" applyBorder="1" applyAlignment="1">
      <alignment horizontal="left" vertical="top" wrapText="1"/>
    </xf>
    <xf numFmtId="0" fontId="11" fillId="0" borderId="21" xfId="2" quotePrefix="1" applyFont="1" applyBorder="1" applyAlignment="1">
      <alignment horizontal="left" vertical="top" wrapText="1"/>
    </xf>
    <xf numFmtId="0" fontId="10" fillId="0" borderId="26" xfId="2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G&#7884;C%20MAI%20-1.10.24%20-DC1/N&#258;M%202026%20-%20DC1/B&#193;O%20C&#193;O%20NG&#192;Y/EXCEL/T8.26/BC%20KQSX%2030x60-%20DC1%20ng&#224;y%2001.8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&#7842;NG%20K&#202;%20CHI%20TI&#7870;T%20TH&#193;NG%208-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NG&#7884;C%20MAI%20-1.10.24%20-DC1/N&#258;M%202025%20-%20DC1/B&#193;O%20C&#193;O%20TH&#193;NG/BAO%20C&#193;O%20TH&#193;NG%202025/TH&#193;NG%2007-25/TI&#202;U%20HAO%20V&#7852;T%20T&#431;%2031.7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8"/>
      <sheetName val="2.8"/>
      <sheetName val="3.8"/>
      <sheetName val="4.8"/>
      <sheetName val="5.8"/>
      <sheetName val="6.8"/>
      <sheetName val="7.8"/>
      <sheetName val="8.8"/>
      <sheetName val="9.8"/>
      <sheetName val="10.8"/>
      <sheetName val="11.8"/>
      <sheetName val="12.8"/>
      <sheetName val="13.8"/>
      <sheetName val="14.8"/>
      <sheetName val="15.8"/>
      <sheetName val="16.8"/>
      <sheetName val="17.8"/>
      <sheetName val="18.8"/>
      <sheetName val="19.8"/>
      <sheetName val="20.8"/>
      <sheetName val="21.8"/>
      <sheetName val="22.8"/>
      <sheetName val="23.8"/>
      <sheetName val="24.8"/>
      <sheetName val="25.8"/>
      <sheetName val="26.8"/>
      <sheetName val="27.8"/>
      <sheetName val="28.8"/>
      <sheetName val="29.8"/>
      <sheetName val="30.8"/>
      <sheetName val="31.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8">
          <cell r="E18">
            <v>476</v>
          </cell>
          <cell r="F18">
            <v>492505</v>
          </cell>
          <cell r="I18">
            <v>454746.24000000011</v>
          </cell>
          <cell r="J18">
            <v>12810.239999999998</v>
          </cell>
          <cell r="K18">
            <v>17177.759999999998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.8"/>
      <sheetName val="31.8"/>
    </sheetNames>
    <sheetDataSet>
      <sheetData sheetId="0"/>
      <sheetData sheetId="1">
        <row r="32">
          <cell r="V32">
            <v>28461.600000000006</v>
          </cell>
          <cell r="W32">
            <v>897.12</v>
          </cell>
          <cell r="X32">
            <v>951.83999999999992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0-7"/>
      <sheetName val="giao men"/>
    </sheetNames>
    <sheetDataSet>
      <sheetData sheetId="0"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138"/>
  <sheetViews>
    <sheetView tabSelected="1" zoomScaleNormal="100" zoomScaleSheetLayoutView="100" workbookViewId="0">
      <selection activeCell="G9" sqref="G9"/>
    </sheetView>
  </sheetViews>
  <sheetFormatPr defaultColWidth="8.7109375" defaultRowHeight="20.25"/>
  <cols>
    <col min="1" max="1" width="19.140625" style="1" customWidth="1"/>
    <col min="2" max="2" width="9.140625" style="1" customWidth="1"/>
    <col min="3" max="3" width="28.28515625" style="1" customWidth="1"/>
    <col min="4" max="4" width="18.28515625" style="2" customWidth="1"/>
    <col min="5" max="5" width="18" style="2" customWidth="1"/>
    <col min="6" max="6" width="19" style="1" customWidth="1"/>
    <col min="7" max="7" width="17.7109375" style="2" customWidth="1"/>
    <col min="8" max="8" width="16" style="1" customWidth="1"/>
    <col min="9" max="9" width="17.42578125" style="1" customWidth="1"/>
    <col min="10" max="10" width="16.28515625" style="1" customWidth="1"/>
    <col min="11" max="11" width="14.85546875" style="1" customWidth="1"/>
    <col min="12" max="12" width="15.140625" style="1" customWidth="1"/>
    <col min="13" max="13" width="17" style="1" customWidth="1"/>
    <col min="14" max="14" width="9" style="1" customWidth="1"/>
    <col min="15" max="15" width="22.85546875" style="1" customWidth="1"/>
    <col min="16" max="16" width="20.28515625" style="1" customWidth="1"/>
    <col min="17" max="17" width="21.42578125" style="1" customWidth="1"/>
    <col min="18" max="18" width="23" style="1" customWidth="1"/>
    <col min="19" max="19" width="28.7109375" style="1" customWidth="1"/>
    <col min="20" max="16384" width="8.7109375" style="1"/>
  </cols>
  <sheetData>
    <row r="1" spans="1:19" s="18" customFormat="1" ht="20.25" customHeight="1">
      <c r="A1" s="17" t="s">
        <v>0</v>
      </c>
      <c r="D1" s="19"/>
      <c r="E1" s="19"/>
      <c r="G1" s="19"/>
    </row>
    <row r="2" spans="1:19" s="18" customFormat="1" ht="20.25" customHeight="1">
      <c r="A2" s="17" t="s">
        <v>1</v>
      </c>
      <c r="D2" s="19"/>
      <c r="E2" s="71"/>
      <c r="F2" s="71"/>
      <c r="G2" s="71"/>
      <c r="H2" s="71"/>
      <c r="I2" s="71"/>
      <c r="J2" s="71"/>
      <c r="K2" s="71"/>
    </row>
    <row r="3" spans="1:19" s="3" customFormat="1" ht="30.75" customHeight="1">
      <c r="A3" s="261" t="s">
        <v>148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</row>
    <row r="4" spans="1:19" s="135" customFormat="1" ht="33.75" customHeight="1" thickBot="1">
      <c r="A4" s="138" t="s">
        <v>2</v>
      </c>
      <c r="B4" s="138"/>
      <c r="D4" s="139"/>
      <c r="E4" s="139"/>
      <c r="G4" s="139"/>
      <c r="I4" s="140"/>
      <c r="J4" s="140"/>
    </row>
    <row r="5" spans="1:19" s="18" customFormat="1" ht="24.75" customHeight="1" thickBot="1">
      <c r="A5" s="262" t="s">
        <v>3</v>
      </c>
      <c r="B5" s="263"/>
      <c r="C5" s="264" t="s">
        <v>4</v>
      </c>
      <c r="D5" s="266" t="s">
        <v>5</v>
      </c>
      <c r="E5" s="266"/>
      <c r="F5" s="266"/>
      <c r="G5" s="267" t="s">
        <v>6</v>
      </c>
      <c r="H5" s="264" t="s">
        <v>7</v>
      </c>
      <c r="I5" s="21" t="s">
        <v>8</v>
      </c>
      <c r="J5" s="264" t="s">
        <v>9</v>
      </c>
      <c r="K5" s="21" t="s">
        <v>10</v>
      </c>
      <c r="L5" s="21" t="s">
        <v>11</v>
      </c>
      <c r="M5" s="22" t="s">
        <v>12</v>
      </c>
      <c r="O5" s="23"/>
    </row>
    <row r="6" spans="1:19" s="18" customFormat="1" ht="24.75" customHeight="1" thickBot="1">
      <c r="A6" s="24" t="s">
        <v>13</v>
      </c>
      <c r="B6" s="25" t="s">
        <v>14</v>
      </c>
      <c r="C6" s="265"/>
      <c r="D6" s="26" t="s">
        <v>15</v>
      </c>
      <c r="E6" s="26" t="s">
        <v>16</v>
      </c>
      <c r="F6" s="25" t="s">
        <v>17</v>
      </c>
      <c r="G6" s="268"/>
      <c r="H6" s="265"/>
      <c r="I6" s="25" t="s">
        <v>18</v>
      </c>
      <c r="J6" s="265"/>
      <c r="K6" s="25" t="s">
        <v>19</v>
      </c>
      <c r="L6" s="25" t="s">
        <v>20</v>
      </c>
      <c r="M6" s="27" t="s">
        <v>21</v>
      </c>
      <c r="O6" s="28" t="s">
        <v>4</v>
      </c>
      <c r="P6" s="223" t="s">
        <v>5</v>
      </c>
      <c r="Q6" s="223"/>
      <c r="R6" s="223"/>
    </row>
    <row r="7" spans="1:19" s="18" customFormat="1" ht="24.75" customHeight="1">
      <c r="A7" s="210" t="s">
        <v>22</v>
      </c>
      <c r="B7" s="29" t="s">
        <v>18</v>
      </c>
      <c r="C7" s="30">
        <f>+(G7*100)/98</f>
        <v>471743.87755102041</v>
      </c>
      <c r="D7" s="30">
        <f>+D8*G7/100</f>
        <v>416078.1</v>
      </c>
      <c r="E7" s="30">
        <f>+E8*G7/100</f>
        <v>32361.63</v>
      </c>
      <c r="F7" s="30">
        <f>+F8*G7/100</f>
        <v>13869.27</v>
      </c>
      <c r="G7" s="30">
        <f>+H7*I7</f>
        <v>462309</v>
      </c>
      <c r="H7" s="141">
        <v>30</v>
      </c>
      <c r="I7" s="31">
        <v>15410.3</v>
      </c>
      <c r="J7" s="32"/>
      <c r="K7" s="32"/>
      <c r="L7" s="32"/>
      <c r="M7" s="33">
        <v>40</v>
      </c>
      <c r="O7" s="34">
        <f>+'[1]31.8'!$F$18</f>
        <v>492505</v>
      </c>
      <c r="P7" s="35" t="s">
        <v>15</v>
      </c>
      <c r="Q7" s="35" t="s">
        <v>16</v>
      </c>
      <c r="R7" s="35" t="s">
        <v>17</v>
      </c>
      <c r="S7" s="36" t="s">
        <v>23</v>
      </c>
    </row>
    <row r="8" spans="1:19" s="18" customFormat="1" ht="24.75" customHeight="1" thickBot="1">
      <c r="A8" s="240"/>
      <c r="B8" s="37" t="s">
        <v>24</v>
      </c>
      <c r="C8" s="38"/>
      <c r="D8" s="156">
        <v>90</v>
      </c>
      <c r="E8" s="156">
        <v>7</v>
      </c>
      <c r="F8" s="156">
        <v>3</v>
      </c>
      <c r="G8" s="39">
        <v>100</v>
      </c>
      <c r="H8" s="142"/>
      <c r="I8" s="39"/>
      <c r="J8" s="40">
        <v>98</v>
      </c>
      <c r="K8" s="241">
        <f>100-J8</f>
        <v>2</v>
      </c>
      <c r="L8" s="242"/>
      <c r="M8" s="41"/>
      <c r="O8" s="42">
        <f>+G7/H7</f>
        <v>15410.3</v>
      </c>
      <c r="P8" s="43">
        <f>+'[1]31.8'!$I$18</f>
        <v>454746.24000000011</v>
      </c>
      <c r="Q8" s="43">
        <f>+'[1]31.8'!$J$18</f>
        <v>12810.239999999998</v>
      </c>
      <c r="R8" s="43">
        <f>+'[1]31.8'!$K$18</f>
        <v>17177.759999999998</v>
      </c>
      <c r="S8" s="44">
        <f>+SUM(P8:R8)</f>
        <v>484734.24000000011</v>
      </c>
    </row>
    <row r="9" spans="1:19" s="18" customFormat="1" ht="24.75" customHeight="1">
      <c r="A9" s="243" t="s">
        <v>25</v>
      </c>
      <c r="B9" s="29" t="s">
        <v>18</v>
      </c>
      <c r="C9" s="43">
        <f>+O7</f>
        <v>492505</v>
      </c>
      <c r="D9" s="45">
        <f>+P8</f>
        <v>454746.24000000011</v>
      </c>
      <c r="E9" s="45">
        <f>+Q8</f>
        <v>12810.239999999998</v>
      </c>
      <c r="F9" s="45">
        <f>+R8</f>
        <v>17177.759999999998</v>
      </c>
      <c r="G9" s="30">
        <f>+SUM(D9:F9)</f>
        <v>484734.24000000011</v>
      </c>
      <c r="H9" s="141">
        <v>30</v>
      </c>
      <c r="I9" s="31">
        <f>+G9/H9</f>
        <v>16157.808000000003</v>
      </c>
      <c r="J9" s="46"/>
      <c r="K9" s="47">
        <v>1645.9199999999998</v>
      </c>
      <c r="L9" s="47">
        <v>1193.7600000000002</v>
      </c>
      <c r="M9" s="48">
        <f>O9/H9</f>
        <v>15.866666666666667</v>
      </c>
      <c r="O9" s="49">
        <f>+'[1]31.8'!$E$18</f>
        <v>476</v>
      </c>
    </row>
    <row r="10" spans="1:19" s="18" customFormat="1" ht="24.75" customHeight="1" thickBot="1">
      <c r="A10" s="244"/>
      <c r="B10" s="50" t="s">
        <v>24</v>
      </c>
      <c r="C10" s="51"/>
      <c r="D10" s="51">
        <f>+D9/$G$9*100</f>
        <v>93.813517279076478</v>
      </c>
      <c r="E10" s="51">
        <f>+E9/$G$9*100</f>
        <v>2.6427347075791459</v>
      </c>
      <c r="F10" s="51">
        <f>+F9/$G$9*100</f>
        <v>3.5437480133443833</v>
      </c>
      <c r="G10" s="51">
        <f>+SUM(D10:F10)</f>
        <v>100.00000000000001</v>
      </c>
      <c r="I10" s="51"/>
      <c r="J10" s="52">
        <f>+G9/C9*100</f>
        <v>98.422196728967236</v>
      </c>
      <c r="K10" s="245">
        <f>100-J10</f>
        <v>1.5778032710327636</v>
      </c>
      <c r="L10" s="245"/>
      <c r="M10" s="53"/>
      <c r="O10" s="20"/>
      <c r="P10" s="20"/>
      <c r="Q10" s="20"/>
    </row>
    <row r="11" spans="1:19" s="18" customFormat="1" ht="24.75" customHeight="1">
      <c r="A11" s="240" t="s">
        <v>26</v>
      </c>
      <c r="B11" s="29" t="s">
        <v>18</v>
      </c>
      <c r="C11" s="30">
        <f>+C9-C7</f>
        <v>20761.122448979586</v>
      </c>
      <c r="D11" s="30">
        <f>+D9-D7</f>
        <v>38668.14000000013</v>
      </c>
      <c r="E11" s="30">
        <f>+E9-E7</f>
        <v>-19551.390000000003</v>
      </c>
      <c r="F11" s="30">
        <f>+F9-F7</f>
        <v>3308.489999999998</v>
      </c>
      <c r="G11" s="30">
        <f>+G9-G7</f>
        <v>22425.240000000107</v>
      </c>
      <c r="H11" s="30"/>
      <c r="I11" s="30"/>
      <c r="J11" s="32"/>
      <c r="K11" s="32"/>
      <c r="L11" s="32"/>
      <c r="M11" s="33"/>
      <c r="O11" s="20"/>
    </row>
    <row r="12" spans="1:19" s="18" customFormat="1" ht="24.75" customHeight="1" thickBot="1">
      <c r="A12" s="246"/>
      <c r="B12" s="50" t="s">
        <v>24</v>
      </c>
      <c r="C12" s="51"/>
      <c r="D12" s="51">
        <f>+D10-D8</f>
        <v>3.8135172790764784</v>
      </c>
      <c r="E12" s="51">
        <f t="shared" ref="E12:F12" si="0">+E10-E8</f>
        <v>-4.3572652924208537</v>
      </c>
      <c r="F12" s="51">
        <f t="shared" si="0"/>
        <v>0.54374801334438327</v>
      </c>
      <c r="G12" s="51"/>
      <c r="H12" s="51"/>
      <c r="I12" s="51"/>
      <c r="J12" s="54"/>
      <c r="K12" s="54"/>
      <c r="L12" s="54"/>
      <c r="M12" s="55"/>
    </row>
    <row r="13" spans="1:19" s="18" customFormat="1" ht="23.25" customHeight="1">
      <c r="A13" s="270" t="s">
        <v>114</v>
      </c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O13" s="20"/>
      <c r="P13" s="20"/>
      <c r="Q13" s="20"/>
    </row>
    <row r="14" spans="1:19" s="18" customFormat="1" ht="23.25" customHeight="1">
      <c r="A14" s="17" t="s">
        <v>28</v>
      </c>
      <c r="B14" s="17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1:19" s="18" customFormat="1" ht="19.5" customHeight="1">
      <c r="A15" s="271" t="s">
        <v>29</v>
      </c>
      <c r="B15" s="271" t="s">
        <v>30</v>
      </c>
      <c r="C15" s="271"/>
      <c r="D15" s="271"/>
      <c r="E15" s="271"/>
      <c r="F15" s="271"/>
      <c r="G15" s="271"/>
      <c r="H15" s="271"/>
      <c r="I15" s="271"/>
      <c r="J15" s="272" t="s">
        <v>31</v>
      </c>
      <c r="K15" s="272"/>
      <c r="L15" s="273" t="s">
        <v>32</v>
      </c>
      <c r="M15" s="274"/>
    </row>
    <row r="16" spans="1:19" s="18" customFormat="1" ht="19.5" customHeight="1">
      <c r="A16" s="271"/>
      <c r="B16" s="271" t="s">
        <v>15</v>
      </c>
      <c r="C16" s="271"/>
      <c r="D16" s="271" t="s">
        <v>16</v>
      </c>
      <c r="E16" s="271"/>
      <c r="F16" s="271" t="s">
        <v>17</v>
      </c>
      <c r="G16" s="271"/>
      <c r="H16" s="272" t="s">
        <v>33</v>
      </c>
      <c r="I16" s="271"/>
      <c r="J16" s="272"/>
      <c r="K16" s="272"/>
      <c r="L16" s="275"/>
      <c r="M16" s="276"/>
    </row>
    <row r="17" spans="1:19" s="18" customFormat="1" ht="23.25" customHeight="1">
      <c r="A17" s="260" t="s">
        <v>34</v>
      </c>
      <c r="B17" s="251">
        <v>265487.03999999998</v>
      </c>
      <c r="C17" s="252"/>
      <c r="D17" s="251">
        <v>8382.24</v>
      </c>
      <c r="E17" s="252"/>
      <c r="F17" s="251">
        <v>11282.399999999994</v>
      </c>
      <c r="G17" s="252"/>
      <c r="H17" s="253">
        <f>+B17+D17+F17</f>
        <v>285151.67999999993</v>
      </c>
      <c r="I17" s="253"/>
      <c r="J17" s="269"/>
      <c r="K17" s="269"/>
      <c r="L17" s="277" t="s">
        <v>35</v>
      </c>
      <c r="M17" s="278"/>
    </row>
    <row r="18" spans="1:19" s="18" customFormat="1" ht="23.25" customHeight="1">
      <c r="A18" s="260"/>
      <c r="B18" s="237">
        <f>+B17/$H$17*100</f>
        <v>93.103796547858337</v>
      </c>
      <c r="C18" s="237"/>
      <c r="D18" s="237">
        <f>+D17/$H$17*100</f>
        <v>2.9395723707466854</v>
      </c>
      <c r="E18" s="237"/>
      <c r="F18" s="237">
        <f>+F17/$H$17*100</f>
        <v>3.9566310813949954</v>
      </c>
      <c r="G18" s="237"/>
      <c r="H18" s="259">
        <f>+H17/$H$17*100</f>
        <v>100</v>
      </c>
      <c r="I18" s="259"/>
      <c r="J18" s="235">
        <f>+H17/$H$57*100</f>
        <v>58.826395263515927</v>
      </c>
      <c r="K18" s="235"/>
      <c r="L18" s="279"/>
      <c r="M18" s="280"/>
      <c r="N18" s="247"/>
      <c r="O18" s="248"/>
      <c r="P18" s="248"/>
      <c r="Q18" s="248"/>
      <c r="R18" s="248"/>
      <c r="S18" s="248"/>
    </row>
    <row r="19" spans="1:19" s="18" customFormat="1" ht="23.25" customHeight="1">
      <c r="A19" s="249" t="s">
        <v>36</v>
      </c>
      <c r="B19" s="251">
        <v>11859.84</v>
      </c>
      <c r="C19" s="252"/>
      <c r="D19" s="251">
        <v>0</v>
      </c>
      <c r="E19" s="252"/>
      <c r="F19" s="251">
        <v>537.12</v>
      </c>
      <c r="G19" s="252"/>
      <c r="H19" s="253">
        <f>+B19+D19+F19</f>
        <v>12396.960000000001</v>
      </c>
      <c r="I19" s="253"/>
      <c r="J19" s="235"/>
      <c r="K19" s="235"/>
      <c r="L19" s="279"/>
      <c r="M19" s="280"/>
      <c r="O19" s="20"/>
    </row>
    <row r="20" spans="1:19" s="18" customFormat="1" ht="23.25" customHeight="1">
      <c r="A20" s="250"/>
      <c r="B20" s="237">
        <f>+B19/$H$19*100</f>
        <v>95.667324892554291</v>
      </c>
      <c r="C20" s="237"/>
      <c r="D20" s="237">
        <f>+D19/$H$19*100</f>
        <v>0</v>
      </c>
      <c r="E20" s="237"/>
      <c r="F20" s="237">
        <f>+F19/$H$19*100</f>
        <v>4.332675107445696</v>
      </c>
      <c r="G20" s="237"/>
      <c r="H20" s="259">
        <f>+H19/$H$19*100</f>
        <v>100</v>
      </c>
      <c r="I20" s="259"/>
      <c r="J20" s="235">
        <f>+H19/$H$57*100</f>
        <v>2.5574756179798648</v>
      </c>
      <c r="K20" s="235"/>
      <c r="L20" s="279"/>
      <c r="M20" s="280"/>
      <c r="N20" s="20"/>
      <c r="O20" s="20"/>
      <c r="P20" s="20"/>
    </row>
    <row r="21" spans="1:19" s="18" customFormat="1" ht="23.25" customHeight="1">
      <c r="A21" s="260" t="s">
        <v>107</v>
      </c>
      <c r="B21" s="283">
        <v>26475.840000000004</v>
      </c>
      <c r="C21" s="283"/>
      <c r="D21" s="283">
        <v>0</v>
      </c>
      <c r="E21" s="283"/>
      <c r="F21" s="283">
        <v>1601.28</v>
      </c>
      <c r="G21" s="283"/>
      <c r="H21" s="253">
        <f>+B21+D21+F21</f>
        <v>28077.120000000003</v>
      </c>
      <c r="I21" s="253"/>
      <c r="J21" s="235"/>
      <c r="K21" s="235"/>
      <c r="L21" s="279"/>
      <c r="M21" s="280"/>
      <c r="N21" s="20"/>
    </row>
    <row r="22" spans="1:19" s="18" customFormat="1" ht="23.25" customHeight="1">
      <c r="A22" s="281"/>
      <c r="B22" s="237">
        <f>+B21/$H$21*100</f>
        <v>94.296850959072728</v>
      </c>
      <c r="C22" s="237"/>
      <c r="D22" s="237">
        <f>+D21/$H$21*100</f>
        <v>0</v>
      </c>
      <c r="E22" s="237"/>
      <c r="F22" s="237">
        <f>+F21/$H$21*100</f>
        <v>5.7031490409272738</v>
      </c>
      <c r="G22" s="237"/>
      <c r="H22" s="284">
        <f>+H21/$H$21*100</f>
        <v>100</v>
      </c>
      <c r="I22" s="284"/>
      <c r="J22" s="235">
        <f>+H21/$H$57*100</f>
        <v>5.7922708327763281</v>
      </c>
      <c r="K22" s="235"/>
      <c r="L22" s="279"/>
      <c r="M22" s="280"/>
    </row>
    <row r="23" spans="1:19" s="18" customFormat="1" ht="23.25" customHeight="1">
      <c r="A23" s="281" t="s">
        <v>40</v>
      </c>
      <c r="B23" s="251">
        <v>42547.679999999993</v>
      </c>
      <c r="C23" s="252"/>
      <c r="D23" s="251">
        <v>1573.9200000000003</v>
      </c>
      <c r="E23" s="252"/>
      <c r="F23" s="251">
        <v>1431.36</v>
      </c>
      <c r="G23" s="252"/>
      <c r="H23" s="253">
        <f>+B23+D23+F23</f>
        <v>45552.959999999992</v>
      </c>
      <c r="I23" s="253"/>
      <c r="J23" s="235"/>
      <c r="K23" s="235"/>
      <c r="L23" s="279"/>
      <c r="M23" s="280"/>
      <c r="O23" s="20"/>
    </row>
    <row r="24" spans="1:19" s="18" customFormat="1" ht="23.25" customHeight="1">
      <c r="A24" s="281"/>
      <c r="B24" s="237">
        <f>+B23/$H$23*100</f>
        <v>93.402668015426443</v>
      </c>
      <c r="C24" s="237"/>
      <c r="D24" s="237">
        <f>+D23/$H$23*100</f>
        <v>3.4551432003540508</v>
      </c>
      <c r="E24" s="237"/>
      <c r="F24" s="237">
        <f>+F23/$H$23*100</f>
        <v>3.1421887842195106</v>
      </c>
      <c r="G24" s="237"/>
      <c r="H24" s="259">
        <f>+H23/$H$23*100</f>
        <v>100</v>
      </c>
      <c r="I24" s="259"/>
      <c r="J24" s="235">
        <f>+H23/$H$57*100</f>
        <v>9.3975123358316903</v>
      </c>
      <c r="K24" s="235"/>
      <c r="L24" s="279"/>
      <c r="M24" s="280"/>
      <c r="N24" s="20"/>
      <c r="O24" s="20"/>
      <c r="P24" s="20"/>
    </row>
    <row r="25" spans="1:19" s="18" customFormat="1" ht="23.25" customHeight="1">
      <c r="A25" s="260" t="s">
        <v>141</v>
      </c>
      <c r="B25" s="283">
        <f>+'[2]31.8'!$V$32</f>
        <v>28461.600000000006</v>
      </c>
      <c r="C25" s="283"/>
      <c r="D25" s="283">
        <f>+'[2]31.8'!$W$32</f>
        <v>897.12</v>
      </c>
      <c r="E25" s="283"/>
      <c r="F25" s="283">
        <f>+'[2]31.8'!$X$32</f>
        <v>951.83999999999992</v>
      </c>
      <c r="G25" s="283"/>
      <c r="H25" s="253">
        <f>+B25+D25+F25</f>
        <v>30310.560000000005</v>
      </c>
      <c r="I25" s="253"/>
      <c r="J25" s="235"/>
      <c r="K25" s="235"/>
      <c r="L25" s="279"/>
      <c r="M25" s="280"/>
      <c r="N25" s="20"/>
    </row>
    <row r="26" spans="1:19" s="18" customFormat="1" ht="23.25" customHeight="1">
      <c r="A26" s="281"/>
      <c r="B26" s="237">
        <f>+B25/$H$25*100</f>
        <v>93.899947740985326</v>
      </c>
      <c r="C26" s="237"/>
      <c r="D26" s="237">
        <f>+D25/$H$25*100</f>
        <v>2.9597605586963747</v>
      </c>
      <c r="E26" s="237"/>
      <c r="F26" s="237">
        <f>+F25/$H$25*100</f>
        <v>3.1402917003183042</v>
      </c>
      <c r="G26" s="237"/>
      <c r="H26" s="284">
        <f>+H25/$H$25*100</f>
        <v>100</v>
      </c>
      <c r="I26" s="284"/>
      <c r="J26" s="235">
        <f>+H25/$H$57*100</f>
        <v>6.2530264006107767</v>
      </c>
      <c r="K26" s="235"/>
      <c r="L26" s="279"/>
      <c r="M26" s="280"/>
    </row>
    <row r="27" spans="1:19" s="18" customFormat="1" ht="23.25" customHeight="1">
      <c r="A27" s="281" t="s">
        <v>110</v>
      </c>
      <c r="B27" s="282">
        <v>27357.119999999999</v>
      </c>
      <c r="C27" s="282"/>
      <c r="D27" s="282">
        <v>1208.1599999999999</v>
      </c>
      <c r="E27" s="282"/>
      <c r="F27" s="282">
        <v>639.3599999999999</v>
      </c>
      <c r="G27" s="282"/>
      <c r="H27" s="253">
        <f>+B27+D27+F27</f>
        <v>29204.639999999999</v>
      </c>
      <c r="I27" s="253"/>
      <c r="J27" s="235"/>
      <c r="K27" s="235"/>
      <c r="L27" s="279"/>
      <c r="M27" s="280"/>
    </row>
    <row r="28" spans="1:19" s="18" customFormat="1" ht="23.25" customHeight="1">
      <c r="A28" s="281"/>
      <c r="B28" s="237">
        <f>+B27/$H$27*100</f>
        <v>93.673881958483307</v>
      </c>
      <c r="C28" s="237"/>
      <c r="D28" s="237">
        <f>+D27/$H$27*100</f>
        <v>4.1368768798382725</v>
      </c>
      <c r="E28" s="237"/>
      <c r="F28" s="237">
        <f>+F27/$H$27*100</f>
        <v>2.1892411616784182</v>
      </c>
      <c r="G28" s="237"/>
      <c r="H28" s="284">
        <f>+H27/$H$27*100</f>
        <v>100</v>
      </c>
      <c r="I28" s="284"/>
      <c r="J28" s="235">
        <f>+H27/$H$57*100</f>
        <v>6.0248766416830799</v>
      </c>
      <c r="K28" s="235"/>
      <c r="L28" s="279"/>
      <c r="M28" s="280"/>
    </row>
    <row r="29" spans="1:19" s="18" customFormat="1" ht="23.25" customHeight="1">
      <c r="A29" s="281" t="s">
        <v>140</v>
      </c>
      <c r="B29" s="282">
        <v>30614.400000000001</v>
      </c>
      <c r="C29" s="282"/>
      <c r="D29" s="282">
        <v>0</v>
      </c>
      <c r="E29" s="282"/>
      <c r="F29" s="282">
        <v>0</v>
      </c>
      <c r="G29" s="282"/>
      <c r="H29" s="253">
        <f>+B29+D29+F29</f>
        <v>30614.400000000001</v>
      </c>
      <c r="I29" s="253"/>
      <c r="J29" s="235"/>
      <c r="K29" s="235"/>
      <c r="L29" s="279"/>
      <c r="M29" s="280"/>
    </row>
    <row r="30" spans="1:19" s="18" customFormat="1" ht="23.25" customHeight="1">
      <c r="A30" s="281"/>
      <c r="B30" s="237">
        <f>+B29/$H$29*100</f>
        <v>100</v>
      </c>
      <c r="C30" s="237"/>
      <c r="D30" s="237">
        <f>+D29/$H$29*100</f>
        <v>0</v>
      </c>
      <c r="E30" s="237"/>
      <c r="F30" s="237">
        <f>+F29/$H$29*100</f>
        <v>0</v>
      </c>
      <c r="G30" s="237"/>
      <c r="H30" s="284">
        <f>+H29/$H$29*100</f>
        <v>100</v>
      </c>
      <c r="I30" s="284"/>
      <c r="J30" s="235">
        <f>+H29/$H$57*100</f>
        <v>6.3157081703161726</v>
      </c>
      <c r="K30" s="235"/>
      <c r="L30" s="279"/>
      <c r="M30" s="280"/>
      <c r="O30" s="20">
        <f>+D23+D25+D27+D31+D33+D37+D17</f>
        <v>12810.24</v>
      </c>
    </row>
    <row r="31" spans="1:19" s="18" customFormat="1" ht="23.25" customHeight="1">
      <c r="A31" s="281" t="s">
        <v>39</v>
      </c>
      <c r="B31" s="282">
        <v>5948.6399999999994</v>
      </c>
      <c r="C31" s="282"/>
      <c r="D31" s="282">
        <v>144</v>
      </c>
      <c r="E31" s="282"/>
      <c r="F31" s="282">
        <v>171.35999999999999</v>
      </c>
      <c r="G31" s="282"/>
      <c r="H31" s="253">
        <f>+B31+D31+F31</f>
        <v>6263.9999999999991</v>
      </c>
      <c r="I31" s="253"/>
      <c r="J31" s="235"/>
      <c r="K31" s="235"/>
      <c r="L31" s="279"/>
      <c r="M31" s="280"/>
    </row>
    <row r="32" spans="1:19" s="18" customFormat="1" ht="23.25" customHeight="1">
      <c r="A32" s="281"/>
      <c r="B32" s="237">
        <f>+B31/$H$31*100</f>
        <v>94.965517241379317</v>
      </c>
      <c r="C32" s="237"/>
      <c r="D32" s="237">
        <f>+D31/$H$31*100</f>
        <v>2.298850574712644</v>
      </c>
      <c r="E32" s="237"/>
      <c r="F32" s="237">
        <f>+F31/$H$31*100</f>
        <v>2.735632183908046</v>
      </c>
      <c r="G32" s="237"/>
      <c r="H32" s="284">
        <f>+H31/$H$31*100</f>
        <v>100</v>
      </c>
      <c r="I32" s="284"/>
      <c r="J32" s="235">
        <f>+H31/$H$57*100</f>
        <v>1.2922544939264038</v>
      </c>
      <c r="K32" s="235"/>
      <c r="L32" s="279"/>
      <c r="M32" s="280"/>
    </row>
    <row r="33" spans="1:15" s="18" customFormat="1" ht="23.25" customHeight="1">
      <c r="A33" s="281" t="s">
        <v>38</v>
      </c>
      <c r="B33" s="282">
        <v>6609.6</v>
      </c>
      <c r="C33" s="282"/>
      <c r="D33" s="282">
        <v>345.6</v>
      </c>
      <c r="E33" s="282"/>
      <c r="F33" s="282">
        <v>253.44</v>
      </c>
      <c r="G33" s="282"/>
      <c r="H33" s="253">
        <f>+B33+D33+F33</f>
        <v>7208.64</v>
      </c>
      <c r="I33" s="253"/>
      <c r="J33" s="235"/>
      <c r="K33" s="235"/>
      <c r="L33" s="279"/>
      <c r="M33" s="280"/>
    </row>
    <row r="34" spans="1:15" s="18" customFormat="1" ht="23.25" customHeight="1">
      <c r="A34" s="281"/>
      <c r="B34" s="237">
        <f>+B33/$H$33*100</f>
        <v>91.689972033559727</v>
      </c>
      <c r="C34" s="237"/>
      <c r="D34" s="237">
        <f>+D33/$H$33*100</f>
        <v>4.7942469037155409</v>
      </c>
      <c r="E34" s="237"/>
      <c r="F34" s="237">
        <f>+F33/$H$33*100</f>
        <v>3.5157810627247299</v>
      </c>
      <c r="G34" s="237"/>
      <c r="H34" s="284">
        <f>+H33/$H$33*100</f>
        <v>100</v>
      </c>
      <c r="I34" s="284"/>
      <c r="J34" s="235">
        <f>+H33/$H$57*100</f>
        <v>1.4871324130104777</v>
      </c>
      <c r="K34" s="235"/>
      <c r="L34" s="279"/>
      <c r="M34" s="280"/>
    </row>
    <row r="35" spans="1:15" s="18" customFormat="1" ht="27.75" customHeight="1">
      <c r="A35" s="281" t="s">
        <v>37</v>
      </c>
      <c r="B35" s="282">
        <v>4281.12</v>
      </c>
      <c r="C35" s="282"/>
      <c r="D35" s="282">
        <v>0</v>
      </c>
      <c r="E35" s="282"/>
      <c r="F35" s="282">
        <v>214.56</v>
      </c>
      <c r="G35" s="282"/>
      <c r="H35" s="253">
        <f>+B35+D35+F35</f>
        <v>4495.68</v>
      </c>
      <c r="I35" s="253"/>
      <c r="J35" s="235"/>
      <c r="K35" s="235"/>
      <c r="L35" s="279"/>
      <c r="M35" s="280"/>
    </row>
    <row r="36" spans="1:15" s="18" customFormat="1" ht="27.75" customHeight="1">
      <c r="A36" s="281"/>
      <c r="B36" s="237">
        <f>+B35/$H$35*100</f>
        <v>95.227418321588715</v>
      </c>
      <c r="C36" s="237"/>
      <c r="D36" s="237">
        <f>+D35/$H$35*100</f>
        <v>0</v>
      </c>
      <c r="E36" s="237"/>
      <c r="F36" s="237">
        <f>+F35/$H$35*100</f>
        <v>4.7725816784112745</v>
      </c>
      <c r="G36" s="237"/>
      <c r="H36" s="284">
        <f>+H35/$H$35*100</f>
        <v>100</v>
      </c>
      <c r="I36" s="284"/>
      <c r="J36" s="235">
        <f>+H35/$H$57*100</f>
        <v>0.92745253564097319</v>
      </c>
      <c r="K36" s="235"/>
      <c r="L36" s="279"/>
      <c r="M36" s="280"/>
    </row>
    <row r="37" spans="1:15" s="18" customFormat="1" ht="27.75" customHeight="1">
      <c r="A37" s="281" t="s">
        <v>139</v>
      </c>
      <c r="B37" s="282">
        <v>5103.3599999999997</v>
      </c>
      <c r="C37" s="282"/>
      <c r="D37" s="282">
        <v>259.2</v>
      </c>
      <c r="E37" s="282"/>
      <c r="F37" s="282">
        <v>95.039999999999992</v>
      </c>
      <c r="G37" s="282"/>
      <c r="H37" s="253">
        <f>+B37+D37+F37</f>
        <v>5457.5999999999995</v>
      </c>
      <c r="I37" s="253"/>
      <c r="J37" s="235"/>
      <c r="K37" s="235"/>
      <c r="L37" s="279"/>
      <c r="M37" s="280"/>
    </row>
    <row r="38" spans="1:15" s="18" customFormat="1" ht="27.75" customHeight="1">
      <c r="A38" s="281"/>
      <c r="B38" s="237">
        <f>+B37/$H$37*100</f>
        <v>93.509234828496048</v>
      </c>
      <c r="C38" s="237"/>
      <c r="D38" s="237">
        <f>+D37/$H$37*100</f>
        <v>4.7493403693931402</v>
      </c>
      <c r="E38" s="237"/>
      <c r="F38" s="237">
        <f>+F37/$H$37*100</f>
        <v>1.7414248021108181</v>
      </c>
      <c r="G38" s="237"/>
      <c r="H38" s="284">
        <f>+H37/$H$37*100</f>
        <v>100</v>
      </c>
      <c r="I38" s="284"/>
      <c r="J38" s="235">
        <f>+H37/$H$57*100</f>
        <v>1.1258952947082921</v>
      </c>
      <c r="K38" s="235"/>
      <c r="L38" s="279"/>
      <c r="M38" s="280"/>
    </row>
    <row r="39" spans="1:15" s="18" customFormat="1" ht="23.25" hidden="1" customHeight="1">
      <c r="A39" s="285" t="s">
        <v>42</v>
      </c>
      <c r="B39" s="282"/>
      <c r="C39" s="282"/>
      <c r="D39" s="282"/>
      <c r="E39" s="282"/>
      <c r="F39" s="282"/>
      <c r="G39" s="282"/>
      <c r="H39" s="253">
        <f>+B39+D39+F39</f>
        <v>0</v>
      </c>
      <c r="I39" s="253"/>
      <c r="J39" s="235"/>
      <c r="K39" s="235"/>
      <c r="L39" s="254" t="s">
        <v>43</v>
      </c>
      <c r="M39" s="255"/>
      <c r="N39" s="20"/>
      <c r="O39" s="20"/>
    </row>
    <row r="40" spans="1:15" s="18" customFormat="1" ht="23.25" hidden="1" customHeight="1">
      <c r="A40" s="285"/>
      <c r="B40" s="236" t="e">
        <f>+B39/$H$39*100</f>
        <v>#DIV/0!</v>
      </c>
      <c r="C40" s="237"/>
      <c r="D40" s="236" t="e">
        <f>+D39/$H$39*100</f>
        <v>#DIV/0!</v>
      </c>
      <c r="E40" s="237"/>
      <c r="F40" s="236" t="e">
        <f>+F39/$H$39*100</f>
        <v>#DIV/0!</v>
      </c>
      <c r="G40" s="237"/>
      <c r="H40" s="237" t="e">
        <f>+H39/$H$39*100</f>
        <v>#DIV/0!</v>
      </c>
      <c r="I40" s="237"/>
      <c r="J40" s="235">
        <f>+H39/$H$57*100</f>
        <v>0</v>
      </c>
      <c r="K40" s="235"/>
      <c r="L40" s="247"/>
      <c r="M40" s="256"/>
      <c r="N40" s="20"/>
      <c r="O40" s="20"/>
    </row>
    <row r="41" spans="1:15" s="18" customFormat="1" ht="23.25" hidden="1" customHeight="1">
      <c r="A41" s="285" t="s">
        <v>37</v>
      </c>
      <c r="B41" s="283"/>
      <c r="C41" s="283"/>
      <c r="D41" s="283">
        <v>0</v>
      </c>
      <c r="E41" s="283"/>
      <c r="F41" s="283"/>
      <c r="G41" s="283"/>
      <c r="H41" s="286">
        <f>+B41+D41+F41</f>
        <v>0</v>
      </c>
      <c r="I41" s="286"/>
      <c r="J41" s="235"/>
      <c r="K41" s="235"/>
      <c r="L41" s="247"/>
      <c r="M41" s="256"/>
      <c r="N41" s="20"/>
      <c r="O41" s="20"/>
    </row>
    <row r="42" spans="1:15" s="18" customFormat="1" ht="23.25" hidden="1" customHeight="1">
      <c r="A42" s="285"/>
      <c r="B42" s="236" t="e">
        <f>+B41/$H$41*100</f>
        <v>#DIV/0!</v>
      </c>
      <c r="C42" s="237"/>
      <c r="D42" s="236" t="e">
        <f>+D41/$H$41*100</f>
        <v>#DIV/0!</v>
      </c>
      <c r="E42" s="237"/>
      <c r="F42" s="236" t="e">
        <f>+F41/$H$41*100</f>
        <v>#DIV/0!</v>
      </c>
      <c r="G42" s="237"/>
      <c r="H42" s="239" t="e">
        <f t="shared" ref="H42" si="1">+H41/$H$41*100</f>
        <v>#DIV/0!</v>
      </c>
      <c r="I42" s="239"/>
      <c r="J42" s="235">
        <f>+H41/$H$57*100</f>
        <v>0</v>
      </c>
      <c r="K42" s="235"/>
      <c r="L42" s="247"/>
      <c r="M42" s="256"/>
      <c r="N42" s="20"/>
      <c r="O42" s="20"/>
    </row>
    <row r="43" spans="1:15" s="18" customFormat="1" ht="23.25" hidden="1" customHeight="1">
      <c r="A43" s="285" t="s">
        <v>41</v>
      </c>
      <c r="B43" s="282"/>
      <c r="C43" s="282"/>
      <c r="D43" s="282">
        <v>0</v>
      </c>
      <c r="E43" s="282"/>
      <c r="F43" s="282">
        <v>0</v>
      </c>
      <c r="G43" s="282"/>
      <c r="H43" s="286">
        <f>+B43+D43+F43</f>
        <v>0</v>
      </c>
      <c r="I43" s="286"/>
      <c r="J43" s="235"/>
      <c r="K43" s="235"/>
      <c r="L43" s="247"/>
      <c r="M43" s="256"/>
      <c r="N43" s="20"/>
      <c r="O43" s="20"/>
    </row>
    <row r="44" spans="1:15" s="18" customFormat="1" ht="23.25" hidden="1" customHeight="1">
      <c r="A44" s="285"/>
      <c r="B44" s="236" t="e">
        <f>+B43/$H$43*100</f>
        <v>#DIV/0!</v>
      </c>
      <c r="C44" s="237"/>
      <c r="D44" s="236" t="e">
        <f>+D43/$H$43*100</f>
        <v>#DIV/0!</v>
      </c>
      <c r="E44" s="237"/>
      <c r="F44" s="236" t="e">
        <f>+F43/$H$43*100</f>
        <v>#DIV/0!</v>
      </c>
      <c r="G44" s="237"/>
      <c r="H44" s="237" t="e">
        <f t="shared" ref="H44" si="2">+H43/$H$43*100</f>
        <v>#DIV/0!</v>
      </c>
      <c r="I44" s="237"/>
      <c r="J44" s="235">
        <f>+H43/$H$57*100</f>
        <v>0</v>
      </c>
      <c r="K44" s="235"/>
      <c r="L44" s="247"/>
      <c r="M44" s="256"/>
      <c r="N44" s="20"/>
      <c r="O44" s="20"/>
    </row>
    <row r="45" spans="1:15" s="18" customFormat="1" ht="23.25" hidden="1" customHeight="1">
      <c r="A45" s="285" t="s">
        <v>46</v>
      </c>
      <c r="B45" s="282">
        <f>+'[3]30-7'!$J$35</f>
        <v>0</v>
      </c>
      <c r="C45" s="282"/>
      <c r="D45" s="282">
        <f>+'[3]30-7'!$J$36</f>
        <v>0</v>
      </c>
      <c r="E45" s="282"/>
      <c r="F45" s="282">
        <f>+'[3]30-7'!$J$37</f>
        <v>0</v>
      </c>
      <c r="G45" s="282"/>
      <c r="H45" s="286">
        <f>+B45+D45+F45</f>
        <v>0</v>
      </c>
      <c r="I45" s="286"/>
      <c r="J45" s="235"/>
      <c r="K45" s="235"/>
      <c r="L45" s="247"/>
      <c r="M45" s="256"/>
      <c r="N45" s="20"/>
      <c r="O45" s="20"/>
    </row>
    <row r="46" spans="1:15" s="18" customFormat="1" ht="23.25" hidden="1" customHeight="1">
      <c r="A46" s="285"/>
      <c r="B46" s="237" t="e">
        <f>+B45/$H$45*100</f>
        <v>#DIV/0!</v>
      </c>
      <c r="C46" s="237"/>
      <c r="D46" s="237" t="e">
        <f>+D45/$H$45*100</f>
        <v>#DIV/0!</v>
      </c>
      <c r="E46" s="237"/>
      <c r="F46" s="237" t="e">
        <f t="shared" ref="F46" si="3">+F45/$H$45*100</f>
        <v>#DIV/0!</v>
      </c>
      <c r="G46" s="237"/>
      <c r="H46" s="237" t="e">
        <f>+H45/$H$45*100</f>
        <v>#DIV/0!</v>
      </c>
      <c r="I46" s="237"/>
      <c r="J46" s="235">
        <f>+H45/$H$57*100</f>
        <v>0</v>
      </c>
      <c r="K46" s="235"/>
      <c r="L46" s="257"/>
      <c r="M46" s="258"/>
      <c r="N46" s="20"/>
      <c r="O46" s="20"/>
    </row>
    <row r="47" spans="1:15" s="18" customFormat="1" ht="23.25" hidden="1" customHeight="1">
      <c r="A47" s="288" t="s">
        <v>42</v>
      </c>
      <c r="B47" s="282"/>
      <c r="C47" s="282"/>
      <c r="D47" s="282"/>
      <c r="E47" s="282"/>
      <c r="F47" s="282"/>
      <c r="G47" s="282"/>
      <c r="H47" s="286">
        <f>+B47+D47+F47</f>
        <v>0</v>
      </c>
      <c r="I47" s="286"/>
      <c r="J47" s="235"/>
      <c r="K47" s="235"/>
      <c r="L47" s="168" t="s">
        <v>44</v>
      </c>
      <c r="M47" s="169"/>
      <c r="N47" s="20"/>
      <c r="O47" s="20"/>
    </row>
    <row r="48" spans="1:15" s="18" customFormat="1" ht="23.25" hidden="1" customHeight="1">
      <c r="A48" s="288"/>
      <c r="B48" s="238" t="e">
        <f>+B47/$H$47*100</f>
        <v>#DIV/0!</v>
      </c>
      <c r="C48" s="238"/>
      <c r="D48" s="238" t="e">
        <f>+D47/$H$47*100</f>
        <v>#DIV/0!</v>
      </c>
      <c r="E48" s="238"/>
      <c r="F48" s="238" t="e">
        <f>+F47/$H$47*100</f>
        <v>#DIV/0!</v>
      </c>
      <c r="G48" s="238"/>
      <c r="H48" s="238" t="e">
        <f>+H47/$H$47*100</f>
        <v>#DIV/0!</v>
      </c>
      <c r="I48" s="238"/>
      <c r="J48" s="235">
        <f>+H47/$H$57*100</f>
        <v>0</v>
      </c>
      <c r="K48" s="235"/>
      <c r="L48" s="170"/>
      <c r="M48" s="171"/>
      <c r="N48" s="20"/>
      <c r="O48" s="20"/>
    </row>
    <row r="49" spans="1:20" s="18" customFormat="1" ht="21" hidden="1" customHeight="1">
      <c r="A49" s="288" t="s">
        <v>107</v>
      </c>
      <c r="B49" s="287"/>
      <c r="C49" s="287"/>
      <c r="D49" s="287"/>
      <c r="E49" s="287"/>
      <c r="F49" s="287"/>
      <c r="G49" s="287"/>
      <c r="H49" s="286">
        <f>+B49+D49+F49</f>
        <v>0</v>
      </c>
      <c r="I49" s="286"/>
      <c r="J49" s="235"/>
      <c r="K49" s="235"/>
      <c r="L49" s="289"/>
      <c r="M49" s="289"/>
      <c r="N49" s="20"/>
    </row>
    <row r="50" spans="1:20" s="18" customFormat="1" ht="21" hidden="1" customHeight="1">
      <c r="A50" s="288"/>
      <c r="B50" s="238" t="e">
        <f>+B49/$H$49*100</f>
        <v>#DIV/0!</v>
      </c>
      <c r="C50" s="238"/>
      <c r="D50" s="238" t="e">
        <f>+D49/$H$49*100</f>
        <v>#DIV/0!</v>
      </c>
      <c r="E50" s="238"/>
      <c r="F50" s="238" t="e">
        <f>+F49/$H$49*100</f>
        <v>#DIV/0!</v>
      </c>
      <c r="G50" s="238"/>
      <c r="H50" s="238" t="e">
        <f>+H49/$H$49*100</f>
        <v>#DIV/0!</v>
      </c>
      <c r="I50" s="238"/>
      <c r="J50" s="235">
        <f>+H49/$H$57*100</f>
        <v>0</v>
      </c>
      <c r="K50" s="235"/>
      <c r="L50" s="289"/>
      <c r="M50" s="289"/>
    </row>
    <row r="51" spans="1:20" s="18" customFormat="1" ht="21" hidden="1" customHeight="1">
      <c r="A51" s="288" t="s">
        <v>45</v>
      </c>
      <c r="B51" s="287"/>
      <c r="C51" s="287"/>
      <c r="D51" s="287"/>
      <c r="E51" s="287"/>
      <c r="F51" s="287"/>
      <c r="G51" s="287"/>
      <c r="H51" s="286">
        <f>+B51+D51+F51</f>
        <v>0</v>
      </c>
      <c r="I51" s="286"/>
      <c r="J51" s="235"/>
      <c r="K51" s="235"/>
      <c r="L51" s="289"/>
      <c r="M51" s="289"/>
    </row>
    <row r="52" spans="1:20" s="18" customFormat="1" ht="21" hidden="1" customHeight="1">
      <c r="A52" s="288"/>
      <c r="B52" s="238" t="e">
        <f>+B51/$H$51*100</f>
        <v>#DIV/0!</v>
      </c>
      <c r="C52" s="238"/>
      <c r="D52" s="238" t="e">
        <f>+D51/$H$51*100</f>
        <v>#DIV/0!</v>
      </c>
      <c r="E52" s="238"/>
      <c r="F52" s="238" t="e">
        <f>+F51/$H$51*100</f>
        <v>#DIV/0!</v>
      </c>
      <c r="G52" s="238"/>
      <c r="H52" s="238" t="e">
        <f>+H51/$H$51*100</f>
        <v>#DIV/0!</v>
      </c>
      <c r="I52" s="238"/>
      <c r="J52" s="235">
        <f>+H51/$H$57*100</f>
        <v>0</v>
      </c>
      <c r="K52" s="235"/>
      <c r="L52" s="289"/>
      <c r="M52" s="289"/>
    </row>
    <row r="53" spans="1:20" s="18" customFormat="1" ht="21" hidden="1" customHeight="1">
      <c r="A53" s="288" t="s">
        <v>42</v>
      </c>
      <c r="B53" s="290"/>
      <c r="C53" s="291"/>
      <c r="D53" s="287"/>
      <c r="E53" s="287"/>
      <c r="F53" s="287"/>
      <c r="G53" s="287"/>
      <c r="H53" s="286">
        <f>+B53+D53+F53</f>
        <v>0</v>
      </c>
      <c r="I53" s="286"/>
      <c r="J53" s="235"/>
      <c r="K53" s="235"/>
      <c r="L53" s="289"/>
      <c r="M53" s="289"/>
    </row>
    <row r="54" spans="1:20" s="18" customFormat="1" ht="21" hidden="1" customHeight="1">
      <c r="A54" s="288"/>
      <c r="B54" s="238" t="e">
        <f>+B53/$H$53*100</f>
        <v>#DIV/0!</v>
      </c>
      <c r="C54" s="238"/>
      <c r="D54" s="238" t="e">
        <f>+D53/$H$53*100</f>
        <v>#DIV/0!</v>
      </c>
      <c r="E54" s="238"/>
      <c r="F54" s="238" t="e">
        <f>+F53/$H$53*100</f>
        <v>#DIV/0!</v>
      </c>
      <c r="G54" s="238"/>
      <c r="H54" s="238" t="e">
        <f>+H53/$H$53*100</f>
        <v>#DIV/0!</v>
      </c>
      <c r="I54" s="238"/>
      <c r="J54" s="235">
        <f>+H53/$H$57*100</f>
        <v>0</v>
      </c>
      <c r="K54" s="235"/>
      <c r="L54" s="289"/>
      <c r="M54" s="289"/>
    </row>
    <row r="55" spans="1:20" s="18" customFormat="1" ht="23.25" hidden="1" customHeight="1">
      <c r="A55" s="288" t="s">
        <v>37</v>
      </c>
      <c r="B55" s="287"/>
      <c r="C55" s="287"/>
      <c r="D55" s="287"/>
      <c r="E55" s="287"/>
      <c r="F55" s="287"/>
      <c r="G55" s="287"/>
      <c r="H55" s="286">
        <f>+B55+D55+F55</f>
        <v>0</v>
      </c>
      <c r="I55" s="286"/>
      <c r="J55" s="235"/>
      <c r="K55" s="235"/>
      <c r="L55" s="289"/>
      <c r="M55" s="289"/>
    </row>
    <row r="56" spans="1:20" s="18" customFormat="1" ht="23.25" hidden="1" customHeight="1">
      <c r="A56" s="288"/>
      <c r="B56" s="238" t="e">
        <f>+B55/$H$55*100</f>
        <v>#DIV/0!</v>
      </c>
      <c r="C56" s="238"/>
      <c r="D56" s="238" t="e">
        <f>+D55/$H$55*100</f>
        <v>#DIV/0!</v>
      </c>
      <c r="E56" s="238"/>
      <c r="F56" s="238" t="e">
        <f>+F55/$H$55*100</f>
        <v>#DIV/0!</v>
      </c>
      <c r="G56" s="238"/>
      <c r="H56" s="238" t="e">
        <f>+H55/$H$55*100</f>
        <v>#DIV/0!</v>
      </c>
      <c r="I56" s="238"/>
      <c r="J56" s="235">
        <f>+H55/$H$57*100</f>
        <v>0</v>
      </c>
      <c r="K56" s="235"/>
      <c r="L56" s="289"/>
      <c r="M56" s="289"/>
      <c r="N56" s="20"/>
    </row>
    <row r="57" spans="1:20" s="18" customFormat="1" ht="24.75" customHeight="1">
      <c r="A57" s="271" t="s">
        <v>47</v>
      </c>
      <c r="B57" s="286">
        <f>+B17+B19+B21+B23+B25+B27+B29+B31+B33+B35+B37</f>
        <v>454746.24</v>
      </c>
      <c r="C57" s="286"/>
      <c r="D57" s="286">
        <f>+D17+D19+D21+D23+D25+D27+D29+D31+D33+D35+D37</f>
        <v>12810.240000000002</v>
      </c>
      <c r="E57" s="286"/>
      <c r="F57" s="286">
        <f>+F17+F19+F21+F23+F25+F27+F29+F31+F33+F35+F37</f>
        <v>17177.759999999998</v>
      </c>
      <c r="G57" s="286"/>
      <c r="H57" s="286">
        <f>+H17+H19+H21+H23+H25+H27+H29+H31+H33+H35+H37</f>
        <v>484734.24</v>
      </c>
      <c r="I57" s="286"/>
      <c r="J57" s="286">
        <f>+J37+J35+J33+J27+J21+J19+J17+J55+J53+J51+J49+J47+J45+J43+J41+J39+J29+J25+J23+J31</f>
        <v>0</v>
      </c>
      <c r="K57" s="286"/>
      <c r="L57" s="289"/>
      <c r="M57" s="289"/>
    </row>
    <row r="58" spans="1:20" s="18" customFormat="1" ht="24.75" customHeight="1">
      <c r="A58" s="271"/>
      <c r="B58" s="300">
        <f>+B57/$H$57*100</f>
        <v>93.813517279076464</v>
      </c>
      <c r="C58" s="300"/>
      <c r="D58" s="300">
        <f>+D57/$H$57*100</f>
        <v>2.6427347075791472</v>
      </c>
      <c r="E58" s="300"/>
      <c r="F58" s="300">
        <f>+F57/$H$57*100</f>
        <v>3.5437480133443842</v>
      </c>
      <c r="G58" s="300"/>
      <c r="H58" s="300">
        <f>+H57/$H$57*100</f>
        <v>100</v>
      </c>
      <c r="I58" s="300"/>
      <c r="J58" s="235">
        <f>+J18+J20+J22+J28+J34+J36+J38+J40+J42+J44+J46+J48+J50+J52+J54+J56+J24+J26+J30+J32</f>
        <v>99.999999999999972</v>
      </c>
      <c r="K58" s="235"/>
      <c r="L58" s="301"/>
      <c r="M58" s="301"/>
    </row>
    <row r="59" spans="1:20" s="18" customFormat="1" ht="24" customHeight="1">
      <c r="A59" s="17" t="s">
        <v>134</v>
      </c>
      <c r="D59" s="19"/>
      <c r="E59" s="19"/>
      <c r="G59" s="19"/>
    </row>
    <row r="60" spans="1:20" s="17" customFormat="1" ht="33.75" customHeight="1">
      <c r="A60" s="159" t="s">
        <v>60</v>
      </c>
      <c r="B60" s="220" t="s">
        <v>48</v>
      </c>
      <c r="C60" s="221"/>
      <c r="D60" s="57" t="s">
        <v>14</v>
      </c>
      <c r="E60" s="58" t="s">
        <v>49</v>
      </c>
      <c r="F60" s="58" t="s">
        <v>50</v>
      </c>
      <c r="G60" s="298" t="s">
        <v>51</v>
      </c>
      <c r="H60" s="298"/>
      <c r="I60" s="59" t="s">
        <v>52</v>
      </c>
      <c r="J60" s="60" t="s">
        <v>53</v>
      </c>
      <c r="K60" s="299" t="s">
        <v>32</v>
      </c>
      <c r="L60" s="299"/>
      <c r="M60" s="299"/>
      <c r="O60" s="61" t="s">
        <v>54</v>
      </c>
      <c r="P60" s="62">
        <f>+SUM(P61:P64)</f>
        <v>484734.24000000011</v>
      </c>
      <c r="Q60" s="63" t="s">
        <v>10</v>
      </c>
      <c r="R60" s="62">
        <f>+SUM(R61:R64)</f>
        <v>486380.16000000009</v>
      </c>
    </row>
    <row r="61" spans="1:20" s="56" customFormat="1" ht="28.5" customHeight="1">
      <c r="A61" s="166">
        <v>1</v>
      </c>
      <c r="B61" s="193" t="s">
        <v>119</v>
      </c>
      <c r="C61" s="194"/>
      <c r="D61" s="143" t="s">
        <v>55</v>
      </c>
      <c r="E61" s="72">
        <v>19.04</v>
      </c>
      <c r="F61" s="72">
        <f>+G61/$P$60</f>
        <v>18.440370542010811</v>
      </c>
      <c r="G61" s="292">
        <v>8938679</v>
      </c>
      <c r="H61" s="293"/>
      <c r="I61" s="72">
        <f>+(E61-F61)*$P$60</f>
        <v>290660.92960000108</v>
      </c>
      <c r="J61" s="144">
        <v>0</v>
      </c>
      <c r="K61" s="199"/>
      <c r="L61" s="200"/>
      <c r="M61" s="201"/>
      <c r="N61" s="17"/>
      <c r="O61" s="133" t="s">
        <v>56</v>
      </c>
      <c r="P61" s="72">
        <v>484734.24000000011</v>
      </c>
      <c r="Q61" s="134">
        <v>1645.9200000000003</v>
      </c>
      <c r="R61" s="134">
        <f>+P61+Q61</f>
        <v>486380.16000000009</v>
      </c>
      <c r="S61" s="135"/>
      <c r="T61" s="135"/>
    </row>
    <row r="62" spans="1:20" s="18" customFormat="1" ht="28.5" customHeight="1">
      <c r="A62" s="166">
        <v>2</v>
      </c>
      <c r="B62" s="233" t="s">
        <v>138</v>
      </c>
      <c r="C62" s="234"/>
      <c r="D62" s="174" t="s">
        <v>55</v>
      </c>
      <c r="E62" s="176">
        <v>0.45600000000000002</v>
      </c>
      <c r="F62" s="177">
        <f>+G62/P61</f>
        <v>0.40906827625793457</v>
      </c>
      <c r="G62" s="294">
        <v>198289.4</v>
      </c>
      <c r="H62" s="295"/>
      <c r="I62" s="72">
        <f>+-(F62-E62)*P61</f>
        <v>22749.413440000055</v>
      </c>
      <c r="J62" s="72">
        <v>0</v>
      </c>
      <c r="K62" s="199"/>
      <c r="L62" s="200"/>
      <c r="M62" s="201"/>
      <c r="O62" s="133" t="s">
        <v>57</v>
      </c>
      <c r="P62" s="72"/>
      <c r="Q62" s="134"/>
      <c r="R62" s="134">
        <f>+P62+Q62</f>
        <v>0</v>
      </c>
      <c r="S62" s="135"/>
      <c r="T62" s="135"/>
    </row>
    <row r="63" spans="1:20" s="18" customFormat="1" ht="28.5" hidden="1" customHeight="1">
      <c r="A63" s="166">
        <v>3</v>
      </c>
      <c r="B63" s="195" t="s">
        <v>120</v>
      </c>
      <c r="C63" s="196"/>
      <c r="D63" s="35" t="s">
        <v>55</v>
      </c>
      <c r="E63" s="172">
        <v>0.38300000000000001</v>
      </c>
      <c r="F63" s="173" t="e">
        <f>+G63/P62</f>
        <v>#DIV/0!</v>
      </c>
      <c r="G63" s="296"/>
      <c r="H63" s="297"/>
      <c r="I63" s="149">
        <v>0</v>
      </c>
      <c r="J63" s="72">
        <v>0</v>
      </c>
      <c r="K63" s="199"/>
      <c r="L63" s="200"/>
      <c r="M63" s="201"/>
      <c r="O63" s="66"/>
      <c r="P63" s="66"/>
      <c r="Q63" s="66"/>
      <c r="R63" s="66"/>
    </row>
    <row r="64" spans="1:20" s="18" customFormat="1" ht="28.5" hidden="1" customHeight="1">
      <c r="A64" s="166">
        <v>4</v>
      </c>
      <c r="B64" s="193" t="s">
        <v>121</v>
      </c>
      <c r="C64" s="194"/>
      <c r="D64" s="143" t="s">
        <v>55</v>
      </c>
      <c r="E64" s="145">
        <v>0.53800000000000003</v>
      </c>
      <c r="F64" s="147" t="e">
        <f>+G64/P64</f>
        <v>#DIV/0!</v>
      </c>
      <c r="G64" s="292"/>
      <c r="H64" s="293"/>
      <c r="I64" s="165" t="e">
        <f>+-(F64-E64)*P64</f>
        <v>#DIV/0!</v>
      </c>
      <c r="J64" s="72">
        <v>0</v>
      </c>
      <c r="K64" s="199"/>
      <c r="L64" s="200"/>
      <c r="M64" s="201"/>
      <c r="O64" s="66" t="s">
        <v>58</v>
      </c>
      <c r="P64" s="43"/>
      <c r="Q64" s="44"/>
      <c r="R64" s="44">
        <f>+P64</f>
        <v>0</v>
      </c>
    </row>
    <row r="65" spans="1:17" s="18" customFormat="1" ht="28.5" customHeight="1">
      <c r="A65" s="166">
        <v>3</v>
      </c>
      <c r="B65" s="193" t="s">
        <v>122</v>
      </c>
      <c r="C65" s="194"/>
      <c r="D65" s="143" t="s">
        <v>55</v>
      </c>
      <c r="E65" s="145">
        <v>0.434</v>
      </c>
      <c r="F65" s="146">
        <f>+G65/P61</f>
        <v>0.40840688291382093</v>
      </c>
      <c r="G65" s="292">
        <v>197968.80000000002</v>
      </c>
      <c r="H65" s="293"/>
      <c r="I65" s="149">
        <f>+-(F65-E65)*P61</f>
        <v>12405.860160000026</v>
      </c>
      <c r="J65" s="149">
        <v>0</v>
      </c>
      <c r="K65" s="199"/>
      <c r="L65" s="200"/>
      <c r="M65" s="201"/>
      <c r="N65" s="17"/>
      <c r="O65" s="67"/>
      <c r="P65" s="67"/>
      <c r="Q65" s="67"/>
    </row>
    <row r="66" spans="1:17" s="18" customFormat="1" ht="28.5" hidden="1" customHeight="1">
      <c r="A66" s="166">
        <v>6</v>
      </c>
      <c r="B66" s="193" t="s">
        <v>123</v>
      </c>
      <c r="C66" s="194"/>
      <c r="D66" s="143" t="s">
        <v>55</v>
      </c>
      <c r="E66" s="145">
        <v>0.624</v>
      </c>
      <c r="F66" s="147" t="e">
        <f>G66/P64</f>
        <v>#DIV/0!</v>
      </c>
      <c r="G66" s="292"/>
      <c r="H66" s="293"/>
      <c r="I66" s="149" t="e">
        <f>+-(F66-E66)*P64</f>
        <v>#DIV/0!</v>
      </c>
      <c r="J66" s="149">
        <v>0</v>
      </c>
      <c r="K66" s="199"/>
      <c r="L66" s="200"/>
      <c r="M66" s="201"/>
      <c r="O66" s="20"/>
    </row>
    <row r="67" spans="1:17" s="18" customFormat="1" ht="28.5" customHeight="1">
      <c r="A67" s="166">
        <v>5</v>
      </c>
      <c r="B67" s="193" t="s">
        <v>124</v>
      </c>
      <c r="C67" s="194"/>
      <c r="D67" s="143" t="s">
        <v>55</v>
      </c>
      <c r="E67" s="145">
        <v>0.434</v>
      </c>
      <c r="F67" s="190" t="e">
        <f>+G67/P62</f>
        <v>#DIV/0!</v>
      </c>
      <c r="G67" s="292">
        <v>300.00000000000006</v>
      </c>
      <c r="H67" s="293"/>
      <c r="I67" s="149">
        <v>0</v>
      </c>
      <c r="J67" s="149">
        <v>0</v>
      </c>
      <c r="K67" s="199" t="s">
        <v>149</v>
      </c>
      <c r="L67" s="200"/>
      <c r="M67" s="201"/>
    </row>
    <row r="68" spans="1:17" s="18" customFormat="1" ht="28.5" customHeight="1">
      <c r="A68" s="166">
        <v>4</v>
      </c>
      <c r="B68" s="193" t="s">
        <v>125</v>
      </c>
      <c r="C68" s="194"/>
      <c r="D68" s="143" t="s">
        <v>55</v>
      </c>
      <c r="E68" s="150">
        <v>4.3299999999999998E-2</v>
      </c>
      <c r="F68" s="151">
        <f>G68/$P$60</f>
        <v>3.1976284571933675E-2</v>
      </c>
      <c r="G68" s="292">
        <v>15500</v>
      </c>
      <c r="H68" s="293"/>
      <c r="I68" s="148">
        <f>+(E68-F68)*$P$60</f>
        <v>5488.9925920000051</v>
      </c>
      <c r="J68" s="149">
        <v>0</v>
      </c>
      <c r="K68" s="199"/>
      <c r="L68" s="200"/>
      <c r="M68" s="201"/>
    </row>
    <row r="69" spans="1:17" s="18" customFormat="1" ht="28.5" customHeight="1">
      <c r="A69" s="166">
        <v>5</v>
      </c>
      <c r="B69" s="193" t="s">
        <v>126</v>
      </c>
      <c r="C69" s="194"/>
      <c r="D69" s="143" t="s">
        <v>55</v>
      </c>
      <c r="E69" s="152">
        <v>2E-3</v>
      </c>
      <c r="F69" s="151">
        <f>G69/$P$60</f>
        <v>3.0944791521226138E-3</v>
      </c>
      <c r="G69" s="292">
        <v>1500</v>
      </c>
      <c r="H69" s="293"/>
      <c r="I69" s="149">
        <v>0</v>
      </c>
      <c r="J69" s="148">
        <f t="shared" ref="J69:J70" si="4">-(E69-F69)*$P$60</f>
        <v>530.53151999999966</v>
      </c>
      <c r="K69" s="199"/>
      <c r="L69" s="200"/>
      <c r="M69" s="201"/>
    </row>
    <row r="70" spans="1:17" s="18" customFormat="1" ht="19.5" hidden="1" customHeight="1">
      <c r="A70" s="166">
        <v>6</v>
      </c>
      <c r="B70" s="193" t="s">
        <v>137</v>
      </c>
      <c r="C70" s="194"/>
      <c r="D70" s="143" t="s">
        <v>55</v>
      </c>
      <c r="E70" s="153">
        <v>3.0899999999999999E-3</v>
      </c>
      <c r="F70" s="153">
        <v>0</v>
      </c>
      <c r="G70" s="197"/>
      <c r="H70" s="198"/>
      <c r="I70" s="144">
        <v>0</v>
      </c>
      <c r="J70" s="149">
        <f t="shared" si="4"/>
        <v>-1497.8288016000004</v>
      </c>
      <c r="K70" s="199"/>
      <c r="L70" s="200"/>
      <c r="M70" s="201"/>
    </row>
    <row r="71" spans="1:17" s="70" customFormat="1" ht="26.25" customHeight="1">
      <c r="A71" s="166">
        <v>6</v>
      </c>
      <c r="B71" s="193" t="s">
        <v>127</v>
      </c>
      <c r="C71" s="194"/>
      <c r="D71" s="143" t="s">
        <v>55</v>
      </c>
      <c r="E71" s="145">
        <v>1.65</v>
      </c>
      <c r="F71" s="145">
        <f>G71/P60</f>
        <v>1.4464627050071805</v>
      </c>
      <c r="G71" s="338">
        <v>701150</v>
      </c>
      <c r="H71" s="339"/>
      <c r="I71" s="144">
        <v>0</v>
      </c>
      <c r="J71" s="149">
        <v>0</v>
      </c>
      <c r="K71" s="340" t="s">
        <v>150</v>
      </c>
      <c r="L71" s="341"/>
      <c r="M71" s="342"/>
      <c r="O71" s="18"/>
    </row>
    <row r="72" spans="1:17" s="18" customFormat="1" ht="26.25" customHeight="1">
      <c r="A72" s="166">
        <v>7</v>
      </c>
      <c r="B72" s="193" t="s">
        <v>128</v>
      </c>
      <c r="C72" s="194"/>
      <c r="D72" s="143" t="s">
        <v>55</v>
      </c>
      <c r="E72" s="154">
        <v>3.7100000000000001E-2</v>
      </c>
      <c r="F72" s="150">
        <f>G72/$P$60</f>
        <v>3.5277062334197799E-2</v>
      </c>
      <c r="G72" s="197">
        <v>17100</v>
      </c>
      <c r="H72" s="198"/>
      <c r="I72" s="144">
        <f>+(E72-F72)*$P$60</f>
        <v>883.64030400000445</v>
      </c>
      <c r="J72" s="149">
        <v>0</v>
      </c>
      <c r="K72" s="199"/>
      <c r="L72" s="200"/>
      <c r="M72" s="201"/>
      <c r="P72" s="71"/>
    </row>
    <row r="73" spans="1:17" s="18" customFormat="1" ht="26.25" customHeight="1">
      <c r="A73" s="166">
        <v>8</v>
      </c>
      <c r="B73" s="195" t="s">
        <v>129</v>
      </c>
      <c r="C73" s="196"/>
      <c r="D73" s="35" t="s">
        <v>55</v>
      </c>
      <c r="E73" s="182">
        <v>8.2199999999999999E-3</v>
      </c>
      <c r="F73" s="183">
        <f t="shared" ref="F73:F81" si="5">G73/$P$60</f>
        <v>8.3179599609055858E-3</v>
      </c>
      <c r="G73" s="205">
        <v>4032</v>
      </c>
      <c r="H73" s="206"/>
      <c r="I73" s="144">
        <v>0</v>
      </c>
      <c r="J73" s="149">
        <f>-(E73-F73)*$P$60</f>
        <v>47.4845471999989</v>
      </c>
      <c r="K73" s="199" t="s">
        <v>111</v>
      </c>
      <c r="L73" s="200"/>
      <c r="M73" s="201"/>
      <c r="P73" s="71"/>
    </row>
    <row r="74" spans="1:17" s="18" customFormat="1" ht="26.25" customHeight="1">
      <c r="A74" s="166">
        <v>9</v>
      </c>
      <c r="B74" s="193" t="s">
        <v>130</v>
      </c>
      <c r="C74" s="194"/>
      <c r="D74" s="143" t="s">
        <v>55</v>
      </c>
      <c r="E74" s="152">
        <v>6.4000000000000003E-3</v>
      </c>
      <c r="F74" s="150">
        <f>G74/$P$60</f>
        <v>6.4777763584433386E-3</v>
      </c>
      <c r="G74" s="197">
        <v>3140</v>
      </c>
      <c r="H74" s="198"/>
      <c r="I74" s="144">
        <v>0</v>
      </c>
      <c r="J74" s="149">
        <f>-(E74-F74)*$P$60</f>
        <v>37.700863999999164</v>
      </c>
      <c r="K74" s="199"/>
      <c r="L74" s="200"/>
      <c r="M74" s="201"/>
    </row>
    <row r="75" spans="1:17" s="18" customFormat="1" ht="26.25" customHeight="1">
      <c r="A75" s="166">
        <v>10</v>
      </c>
      <c r="B75" s="193" t="s">
        <v>131</v>
      </c>
      <c r="C75" s="194"/>
      <c r="D75" s="143" t="s">
        <v>59</v>
      </c>
      <c r="E75" s="145">
        <v>0.69699999999999995</v>
      </c>
      <c r="F75" s="145">
        <f>G75/$P$60</f>
        <v>0.69675292589192772</v>
      </c>
      <c r="G75" s="197">
        <v>337740</v>
      </c>
      <c r="H75" s="198"/>
      <c r="I75" s="144">
        <v>0</v>
      </c>
      <c r="J75" s="72">
        <v>0</v>
      </c>
      <c r="K75" s="199"/>
      <c r="L75" s="200"/>
      <c r="M75" s="201"/>
      <c r="P75" s="71"/>
    </row>
    <row r="76" spans="1:17" s="18" customFormat="1" ht="19.5" hidden="1" customHeight="1">
      <c r="A76" s="166">
        <v>11</v>
      </c>
      <c r="B76" s="193" t="s">
        <v>115</v>
      </c>
      <c r="C76" s="194"/>
      <c r="D76" s="143" t="s">
        <v>59</v>
      </c>
      <c r="E76" s="155"/>
      <c r="F76" s="150"/>
      <c r="G76" s="197">
        <v>0</v>
      </c>
      <c r="H76" s="198"/>
      <c r="I76" s="144">
        <v>0</v>
      </c>
      <c r="J76" s="72">
        <v>0</v>
      </c>
      <c r="K76" s="202"/>
      <c r="L76" s="203"/>
      <c r="M76" s="204"/>
      <c r="O76" s="73" t="e">
        <f>+P60/G76</f>
        <v>#DIV/0!</v>
      </c>
    </row>
    <row r="77" spans="1:17" s="18" customFormat="1" ht="19.5" customHeight="1">
      <c r="A77" s="166">
        <v>11</v>
      </c>
      <c r="B77" s="193" t="s">
        <v>116</v>
      </c>
      <c r="C77" s="194"/>
      <c r="D77" s="143" t="s">
        <v>59</v>
      </c>
      <c r="E77" s="155"/>
      <c r="F77" s="150"/>
      <c r="G77" s="197">
        <v>445</v>
      </c>
      <c r="H77" s="198"/>
      <c r="I77" s="144">
        <v>0</v>
      </c>
      <c r="J77" s="72">
        <v>0</v>
      </c>
      <c r="K77" s="160"/>
      <c r="L77" s="161"/>
      <c r="M77" s="162"/>
      <c r="O77" s="73"/>
    </row>
    <row r="78" spans="1:17" s="18" customFormat="1" ht="19.5" hidden="1" customHeight="1">
      <c r="A78" s="166">
        <v>13</v>
      </c>
      <c r="B78" s="193" t="s">
        <v>117</v>
      </c>
      <c r="C78" s="194"/>
      <c r="D78" s="143" t="s">
        <v>59</v>
      </c>
      <c r="E78" s="145"/>
      <c r="F78" s="145"/>
      <c r="G78" s="197">
        <v>0</v>
      </c>
      <c r="H78" s="198"/>
      <c r="I78" s="144">
        <v>0</v>
      </c>
      <c r="J78" s="72">
        <v>0</v>
      </c>
      <c r="K78" s="199"/>
      <c r="L78" s="200"/>
      <c r="M78" s="201"/>
      <c r="P78" s="71"/>
    </row>
    <row r="79" spans="1:17" s="18" customFormat="1" ht="27" customHeight="1">
      <c r="A79" s="166">
        <v>12</v>
      </c>
      <c r="B79" s="193" t="s">
        <v>118</v>
      </c>
      <c r="C79" s="194"/>
      <c r="D79" s="143" t="s">
        <v>59</v>
      </c>
      <c r="E79" s="155"/>
      <c r="F79" s="150"/>
      <c r="G79" s="197">
        <v>5500</v>
      </c>
      <c r="H79" s="198"/>
      <c r="I79" s="144">
        <v>0</v>
      </c>
      <c r="J79" s="72">
        <v>0</v>
      </c>
      <c r="K79" s="202"/>
      <c r="L79" s="203"/>
      <c r="M79" s="204"/>
    </row>
    <row r="80" spans="1:17" s="18" customFormat="1" ht="27" customHeight="1">
      <c r="A80" s="166">
        <v>13</v>
      </c>
      <c r="B80" s="195" t="s">
        <v>132</v>
      </c>
      <c r="C80" s="196"/>
      <c r="D80" s="35" t="s">
        <v>55</v>
      </c>
      <c r="E80" s="184">
        <v>3.4299999999999999E-3</v>
      </c>
      <c r="F80" s="185">
        <f t="shared" si="5"/>
        <v>3.1563687351650661E-3</v>
      </c>
      <c r="G80" s="205">
        <v>1530</v>
      </c>
      <c r="H80" s="206"/>
      <c r="I80" s="65">
        <f>+-(F80-E80)*$P$60</f>
        <v>132.63844320000038</v>
      </c>
      <c r="J80" s="43">
        <v>0</v>
      </c>
      <c r="K80" s="207"/>
      <c r="L80" s="208"/>
      <c r="M80" s="209"/>
    </row>
    <row r="81" spans="1:17" s="18" customFormat="1" ht="27" customHeight="1">
      <c r="A81" s="166">
        <v>14</v>
      </c>
      <c r="B81" s="193" t="s">
        <v>133</v>
      </c>
      <c r="C81" s="194"/>
      <c r="D81" s="64" t="s">
        <v>59</v>
      </c>
      <c r="E81" s="68">
        <v>4.7239999999999997E-2</v>
      </c>
      <c r="F81" s="129">
        <f t="shared" si="5"/>
        <v>4.4766798400707151E-2</v>
      </c>
      <c r="G81" s="218">
        <v>21700</v>
      </c>
      <c r="H81" s="219"/>
      <c r="I81" s="65">
        <f t="shared" ref="I81" si="6">+-(F81-E81)*$P$60</f>
        <v>1198.8454976000023</v>
      </c>
      <c r="J81" s="43">
        <v>0</v>
      </c>
      <c r="K81" s="207"/>
      <c r="L81" s="208"/>
      <c r="M81" s="209"/>
    </row>
    <row r="82" spans="1:17" s="18" customFormat="1" ht="30" customHeight="1">
      <c r="A82" s="222" t="s">
        <v>27</v>
      </c>
      <c r="B82" s="222"/>
      <c r="C82" s="222"/>
      <c r="D82" s="222"/>
      <c r="E82" s="222"/>
      <c r="F82" s="222"/>
      <c r="G82" s="222"/>
      <c r="H82" s="74"/>
      <c r="I82" s="75"/>
      <c r="J82" s="74"/>
      <c r="K82" s="75"/>
      <c r="L82" s="74"/>
      <c r="M82" s="74"/>
    </row>
    <row r="83" spans="1:17" s="18" customFormat="1" ht="26.25" customHeight="1">
      <c r="A83" s="17" t="s">
        <v>113</v>
      </c>
      <c r="D83" s="19"/>
      <c r="E83" s="19"/>
      <c r="G83" s="19"/>
      <c r="H83" s="77"/>
    </row>
    <row r="84" spans="1:17" s="17" customFormat="1" ht="26.25" customHeight="1">
      <c r="A84" s="57" t="s">
        <v>60</v>
      </c>
      <c r="B84" s="220" t="s">
        <v>61</v>
      </c>
      <c r="C84" s="221"/>
      <c r="D84" s="79" t="s">
        <v>62</v>
      </c>
      <c r="E84" s="80" t="s">
        <v>103</v>
      </c>
      <c r="F84" s="58" t="s">
        <v>84</v>
      </c>
      <c r="G84" s="81" t="s">
        <v>63</v>
      </c>
      <c r="H84" s="58" t="s">
        <v>112</v>
      </c>
      <c r="I84" s="82" t="s">
        <v>104</v>
      </c>
      <c r="J84" s="57" t="s">
        <v>64</v>
      </c>
      <c r="K84" s="223" t="s">
        <v>32</v>
      </c>
      <c r="L84" s="223"/>
      <c r="M84" s="223"/>
      <c r="N84" s="18"/>
    </row>
    <row r="85" spans="1:17" s="18" customFormat="1" ht="26.25" customHeight="1">
      <c r="A85" s="64">
        <v>1</v>
      </c>
      <c r="B85" s="306" t="s">
        <v>65</v>
      </c>
      <c r="C85" s="307"/>
      <c r="D85" s="83">
        <v>2</v>
      </c>
      <c r="E85" s="83">
        <v>2</v>
      </c>
      <c r="F85" s="83"/>
      <c r="G85" s="83"/>
      <c r="H85" s="83"/>
      <c r="I85" s="84">
        <f>+E85</f>
        <v>2</v>
      </c>
      <c r="J85" s="84">
        <f>+I85-D85</f>
        <v>0</v>
      </c>
      <c r="K85" s="224" t="s">
        <v>146</v>
      </c>
      <c r="L85" s="225"/>
      <c r="M85" s="226"/>
      <c r="P85" s="23"/>
    </row>
    <row r="86" spans="1:17" s="18" customFormat="1" ht="26.25" customHeight="1">
      <c r="A86" s="64">
        <v>2</v>
      </c>
      <c r="B86" s="306" t="s">
        <v>83</v>
      </c>
      <c r="C86" s="307"/>
      <c r="D86" s="83">
        <v>4</v>
      </c>
      <c r="E86" s="83">
        <v>4</v>
      </c>
      <c r="F86" s="83"/>
      <c r="G86" s="83"/>
      <c r="H86" s="83"/>
      <c r="I86" s="84">
        <f t="shared" ref="I86:I91" si="7">+E86</f>
        <v>4</v>
      </c>
      <c r="J86" s="84">
        <f t="shared" ref="J86:J91" si="8">+I86-D86</f>
        <v>0</v>
      </c>
      <c r="K86" s="227"/>
      <c r="L86" s="228"/>
      <c r="M86" s="229"/>
      <c r="O86" s="85"/>
    </row>
    <row r="87" spans="1:17" s="18" customFormat="1" ht="26.25" customHeight="1">
      <c r="A87" s="64">
        <v>3</v>
      </c>
      <c r="B87" s="86" t="s">
        <v>66</v>
      </c>
      <c r="C87" s="86"/>
      <c r="D87" s="83">
        <v>25</v>
      </c>
      <c r="E87" s="167">
        <v>22</v>
      </c>
      <c r="F87" s="83">
        <v>1</v>
      </c>
      <c r="G87" s="83"/>
      <c r="H87" s="83">
        <v>1</v>
      </c>
      <c r="I87" s="84">
        <f>+E87++F87</f>
        <v>23</v>
      </c>
      <c r="J87" s="84">
        <f t="shared" si="8"/>
        <v>-2</v>
      </c>
      <c r="K87" s="227"/>
      <c r="L87" s="228"/>
      <c r="M87" s="229"/>
      <c r="O87" s="85"/>
      <c r="P87" s="136"/>
      <c r="Q87" s="137"/>
    </row>
    <row r="88" spans="1:17" s="18" customFormat="1" ht="26.25" customHeight="1">
      <c r="A88" s="64">
        <v>4</v>
      </c>
      <c r="B88" s="86" t="s">
        <v>67</v>
      </c>
      <c r="C88" s="86"/>
      <c r="D88" s="83">
        <v>27</v>
      </c>
      <c r="E88" s="83">
        <v>25</v>
      </c>
      <c r="F88" s="83"/>
      <c r="G88" s="83"/>
      <c r="H88" s="83"/>
      <c r="I88" s="84">
        <f t="shared" si="7"/>
        <v>25</v>
      </c>
      <c r="J88" s="84">
        <f t="shared" si="8"/>
        <v>-2</v>
      </c>
      <c r="K88" s="227"/>
      <c r="L88" s="228"/>
      <c r="M88" s="229"/>
      <c r="O88" s="85"/>
      <c r="P88" s="18">
        <f>7+7+8</f>
        <v>22</v>
      </c>
    </row>
    <row r="89" spans="1:17" s="18" customFormat="1" ht="26.25" customHeight="1">
      <c r="A89" s="64">
        <v>5</v>
      </c>
      <c r="B89" s="86" t="s">
        <v>68</v>
      </c>
      <c r="C89" s="86"/>
      <c r="D89" s="83">
        <f>14*3+1</f>
        <v>43</v>
      </c>
      <c r="E89" s="83">
        <f>14+14+13</f>
        <v>41</v>
      </c>
      <c r="F89" s="83"/>
      <c r="G89" s="83">
        <v>1</v>
      </c>
      <c r="H89" s="83"/>
      <c r="I89" s="84">
        <f>+E89+F89-G89</f>
        <v>40</v>
      </c>
      <c r="J89" s="84">
        <f t="shared" si="8"/>
        <v>-3</v>
      </c>
      <c r="K89" s="227"/>
      <c r="L89" s="228"/>
      <c r="M89" s="229"/>
      <c r="O89" s="87"/>
    </row>
    <row r="90" spans="1:17" s="18" customFormat="1" ht="26.25" customHeight="1">
      <c r="A90" s="64">
        <v>6</v>
      </c>
      <c r="B90" s="86" t="s">
        <v>105</v>
      </c>
      <c r="C90" s="88"/>
      <c r="D90" s="83">
        <v>6</v>
      </c>
      <c r="E90" s="83">
        <v>6</v>
      </c>
      <c r="F90" s="83"/>
      <c r="G90" s="83"/>
      <c r="H90" s="83"/>
      <c r="I90" s="84">
        <f t="shared" si="7"/>
        <v>6</v>
      </c>
      <c r="J90" s="84">
        <f t="shared" si="8"/>
        <v>0</v>
      </c>
      <c r="K90" s="227"/>
      <c r="L90" s="228"/>
      <c r="M90" s="229"/>
      <c r="O90" s="87"/>
    </row>
    <row r="91" spans="1:17" s="18" customFormat="1" ht="26.25" customHeight="1">
      <c r="A91" s="64">
        <v>7</v>
      </c>
      <c r="B91" s="306" t="s">
        <v>69</v>
      </c>
      <c r="C91" s="307"/>
      <c r="D91" s="83">
        <v>1</v>
      </c>
      <c r="E91" s="83">
        <v>1</v>
      </c>
      <c r="F91" s="83"/>
      <c r="G91" s="83"/>
      <c r="H91" s="83"/>
      <c r="I91" s="84">
        <f t="shared" si="7"/>
        <v>1</v>
      </c>
      <c r="J91" s="84">
        <f t="shared" si="8"/>
        <v>0</v>
      </c>
      <c r="K91" s="227"/>
      <c r="L91" s="228"/>
      <c r="M91" s="229"/>
      <c r="O91" s="87"/>
    </row>
    <row r="92" spans="1:17" s="17" customFormat="1" ht="26.25" customHeight="1">
      <c r="A92" s="220" t="s">
        <v>47</v>
      </c>
      <c r="B92" s="321"/>
      <c r="C92" s="221"/>
      <c r="D92" s="79">
        <f>+SUM(D85:D91)</f>
        <v>108</v>
      </c>
      <c r="E92" s="89">
        <f>+SUM(E85:E91)</f>
        <v>101</v>
      </c>
      <c r="F92" s="89">
        <f>+SUM(F85:F91)</f>
        <v>1</v>
      </c>
      <c r="G92" s="89">
        <f t="shared" ref="G92:H92" si="9">+SUM(G85:G91)</f>
        <v>1</v>
      </c>
      <c r="H92" s="89">
        <f t="shared" si="9"/>
        <v>1</v>
      </c>
      <c r="I92" s="90">
        <f>+SUM(I85:I91)</f>
        <v>101</v>
      </c>
      <c r="J92" s="90">
        <f>+SUM(J85:J91)</f>
        <v>-7</v>
      </c>
      <c r="K92" s="230"/>
      <c r="L92" s="231"/>
      <c r="M92" s="232"/>
      <c r="N92" s="18"/>
      <c r="O92" s="18"/>
      <c r="P92" s="91"/>
    </row>
    <row r="93" spans="1:17" s="18" customFormat="1" ht="26.25" customHeight="1">
      <c r="A93" s="78" t="s">
        <v>144</v>
      </c>
      <c r="B93" s="76"/>
      <c r="C93" s="76"/>
      <c r="D93" s="76"/>
      <c r="E93" s="76"/>
      <c r="F93" s="92"/>
      <c r="G93" s="76"/>
      <c r="H93" s="76"/>
      <c r="I93" s="76"/>
      <c r="J93" s="76"/>
      <c r="K93" s="76"/>
      <c r="L93" s="76"/>
    </row>
    <row r="94" spans="1:17" s="18" customFormat="1" ht="30" customHeight="1">
      <c r="A94" s="93"/>
      <c r="B94" s="94" t="s">
        <v>60</v>
      </c>
      <c r="C94" s="95" t="s">
        <v>96</v>
      </c>
      <c r="D94" s="94" t="s">
        <v>97</v>
      </c>
      <c r="E94" s="94" t="s">
        <v>98</v>
      </c>
      <c r="F94" s="94" t="s">
        <v>99</v>
      </c>
      <c r="G94" s="316" t="s">
        <v>100</v>
      </c>
      <c r="H94" s="317"/>
      <c r="I94" s="316" t="s">
        <v>101</v>
      </c>
      <c r="J94" s="318"/>
      <c r="K94" s="318"/>
      <c r="L94" s="317"/>
    </row>
    <row r="95" spans="1:17" s="18" customFormat="1" ht="21" customHeight="1">
      <c r="A95" s="319" t="s">
        <v>102</v>
      </c>
      <c r="B95" s="157">
        <v>1</v>
      </c>
      <c r="C95" s="175" t="s">
        <v>151</v>
      </c>
      <c r="D95" s="163" t="s">
        <v>152</v>
      </c>
      <c r="E95" s="131">
        <v>46202</v>
      </c>
      <c r="F95" s="96">
        <v>39</v>
      </c>
      <c r="G95" s="309" t="s">
        <v>153</v>
      </c>
      <c r="H95" s="310"/>
      <c r="I95" s="311"/>
      <c r="J95" s="312"/>
      <c r="K95" s="312"/>
      <c r="L95" s="313"/>
    </row>
    <row r="96" spans="1:17" s="18" customFormat="1" ht="21" customHeight="1">
      <c r="A96" s="320"/>
      <c r="B96" s="324">
        <v>2</v>
      </c>
      <c r="C96" s="322" t="s">
        <v>155</v>
      </c>
      <c r="D96" s="163" t="s">
        <v>156</v>
      </c>
      <c r="E96" s="131">
        <v>46111</v>
      </c>
      <c r="F96" s="96">
        <v>139.68</v>
      </c>
      <c r="G96" s="309" t="s">
        <v>136</v>
      </c>
      <c r="H96" s="310"/>
      <c r="I96" s="311"/>
      <c r="J96" s="312"/>
      <c r="K96" s="312"/>
      <c r="L96" s="313"/>
    </row>
    <row r="97" spans="1:15" s="18" customFormat="1" ht="21" customHeight="1">
      <c r="A97" s="320"/>
      <c r="B97" s="325"/>
      <c r="C97" s="323"/>
      <c r="D97" s="164" t="s">
        <v>156</v>
      </c>
      <c r="E97" s="131" t="s">
        <v>157</v>
      </c>
      <c r="F97" s="96">
        <v>343.8</v>
      </c>
      <c r="G97" s="309" t="s">
        <v>158</v>
      </c>
      <c r="H97" s="343"/>
      <c r="I97" s="311"/>
      <c r="J97" s="312"/>
      <c r="K97" s="312"/>
      <c r="L97" s="313"/>
    </row>
    <row r="98" spans="1:15" s="18" customFormat="1" ht="21" customHeight="1">
      <c r="A98" s="320"/>
      <c r="B98" s="324">
        <v>3</v>
      </c>
      <c r="C98" s="322" t="s">
        <v>159</v>
      </c>
      <c r="D98" s="164" t="s">
        <v>160</v>
      </c>
      <c r="E98" s="131">
        <v>45875</v>
      </c>
      <c r="F98" s="96">
        <v>270</v>
      </c>
      <c r="G98" s="314" t="s">
        <v>162</v>
      </c>
      <c r="H98" s="315"/>
      <c r="I98" s="187"/>
      <c r="J98" s="188"/>
      <c r="K98" s="188"/>
      <c r="L98" s="189"/>
    </row>
    <row r="99" spans="1:15" s="18" customFormat="1" ht="21" customHeight="1">
      <c r="A99" s="320"/>
      <c r="B99" s="325"/>
      <c r="C99" s="323"/>
      <c r="D99" s="163" t="s">
        <v>161</v>
      </c>
      <c r="E99" s="131">
        <v>46136</v>
      </c>
      <c r="F99" s="96">
        <v>216</v>
      </c>
      <c r="G99" s="314" t="s">
        <v>162</v>
      </c>
      <c r="H99" s="315"/>
      <c r="I99" s="311"/>
      <c r="J99" s="312"/>
      <c r="K99" s="312"/>
      <c r="L99" s="313"/>
    </row>
    <row r="100" spans="1:15" s="18" customFormat="1" ht="21" customHeight="1">
      <c r="A100" s="320"/>
      <c r="B100" s="324">
        <v>4</v>
      </c>
      <c r="C100" s="322" t="s">
        <v>167</v>
      </c>
      <c r="D100" s="164" t="s">
        <v>168</v>
      </c>
      <c r="E100" s="131">
        <v>46135</v>
      </c>
      <c r="F100" s="96">
        <v>262.08</v>
      </c>
      <c r="G100" s="314" t="s">
        <v>162</v>
      </c>
      <c r="H100" s="315"/>
      <c r="I100" s="187"/>
      <c r="J100" s="188"/>
      <c r="K100" s="188"/>
      <c r="L100" s="189"/>
    </row>
    <row r="101" spans="1:15" s="18" customFormat="1" ht="21" customHeight="1">
      <c r="A101" s="320"/>
      <c r="B101" s="325"/>
      <c r="C101" s="323"/>
      <c r="D101" s="163" t="s">
        <v>168</v>
      </c>
      <c r="E101" s="131">
        <v>46135</v>
      </c>
      <c r="F101" s="96">
        <v>5</v>
      </c>
      <c r="G101" s="314" t="s">
        <v>169</v>
      </c>
      <c r="H101" s="315"/>
      <c r="I101" s="311"/>
      <c r="J101" s="312"/>
      <c r="K101" s="312"/>
      <c r="L101" s="313"/>
    </row>
    <row r="102" spans="1:15" s="18" customFormat="1" ht="21" customHeight="1">
      <c r="A102" s="320"/>
      <c r="B102" s="324">
        <v>5</v>
      </c>
      <c r="C102" s="345" t="s">
        <v>163</v>
      </c>
      <c r="D102" s="164" t="s">
        <v>164</v>
      </c>
      <c r="E102" s="131">
        <v>46098</v>
      </c>
      <c r="F102" s="96">
        <v>280</v>
      </c>
      <c r="G102" s="309" t="s">
        <v>153</v>
      </c>
      <c r="H102" s="310"/>
      <c r="I102" s="311"/>
      <c r="J102" s="312"/>
      <c r="K102" s="312"/>
      <c r="L102" s="313"/>
    </row>
    <row r="103" spans="1:15" s="18" customFormat="1" ht="21" customHeight="1">
      <c r="A103" s="186"/>
      <c r="B103" s="344"/>
      <c r="C103" s="346"/>
      <c r="D103" s="164" t="s">
        <v>165</v>
      </c>
      <c r="E103" s="131">
        <v>46092</v>
      </c>
      <c r="F103" s="96">
        <v>167.76</v>
      </c>
      <c r="G103" s="309" t="s">
        <v>153</v>
      </c>
      <c r="H103" s="310"/>
      <c r="I103" s="187"/>
      <c r="J103" s="188"/>
      <c r="K103" s="188"/>
      <c r="L103" s="189"/>
    </row>
    <row r="104" spans="1:15" s="18" customFormat="1" ht="21" customHeight="1">
      <c r="A104" s="178"/>
      <c r="B104" s="325"/>
      <c r="C104" s="347"/>
      <c r="D104" s="164" t="s">
        <v>166</v>
      </c>
      <c r="E104" s="131">
        <v>45935</v>
      </c>
      <c r="F104" s="96">
        <v>114.48</v>
      </c>
      <c r="G104" s="309" t="s">
        <v>153</v>
      </c>
      <c r="H104" s="310"/>
      <c r="I104" s="179"/>
      <c r="J104" s="180"/>
      <c r="K104" s="180"/>
      <c r="L104" s="181"/>
    </row>
    <row r="105" spans="1:15" s="18" customFormat="1" ht="18" customHeight="1">
      <c r="A105" s="308" t="s">
        <v>154</v>
      </c>
      <c r="B105" s="308"/>
      <c r="C105" s="308"/>
      <c r="D105" s="308"/>
      <c r="E105" s="308"/>
      <c r="F105" s="132">
        <f>SUM(F95:F104)</f>
        <v>1837.8</v>
      </c>
      <c r="G105" s="289"/>
      <c r="H105" s="289"/>
      <c r="I105" s="289"/>
      <c r="J105" s="289"/>
      <c r="K105" s="289"/>
      <c r="L105" s="289"/>
    </row>
    <row r="106" spans="1:15" s="18" customFormat="1" ht="24" customHeight="1" thickBot="1">
      <c r="A106" s="17" t="s">
        <v>142</v>
      </c>
      <c r="B106" s="17"/>
      <c r="C106" s="17"/>
      <c r="D106" s="19"/>
      <c r="E106" s="19"/>
      <c r="G106" s="19"/>
      <c r="H106" s="158"/>
    </row>
    <row r="107" spans="1:15" s="18" customFormat="1" ht="24" customHeight="1">
      <c r="A107" s="262" t="s">
        <v>3</v>
      </c>
      <c r="B107" s="263"/>
      <c r="C107" s="302" t="s">
        <v>4</v>
      </c>
      <c r="D107" s="304" t="s">
        <v>5</v>
      </c>
      <c r="E107" s="305"/>
      <c r="F107" s="263"/>
      <c r="G107" s="267" t="s">
        <v>6</v>
      </c>
      <c r="H107" s="264" t="s">
        <v>7</v>
      </c>
      <c r="I107" s="21" t="s">
        <v>8</v>
      </c>
      <c r="J107" s="264" t="s">
        <v>9</v>
      </c>
      <c r="K107" s="21" t="s">
        <v>10</v>
      </c>
      <c r="L107" s="21" t="s">
        <v>11</v>
      </c>
      <c r="M107" s="22" t="s">
        <v>12</v>
      </c>
    </row>
    <row r="108" spans="1:15" s="18" customFormat="1" ht="21.75" customHeight="1" thickBot="1">
      <c r="A108" s="24" t="s">
        <v>13</v>
      </c>
      <c r="B108" s="25" t="s">
        <v>14</v>
      </c>
      <c r="C108" s="303"/>
      <c r="D108" s="26" t="s">
        <v>15</v>
      </c>
      <c r="E108" s="26" t="s">
        <v>16</v>
      </c>
      <c r="F108" s="25" t="s">
        <v>17</v>
      </c>
      <c r="G108" s="268"/>
      <c r="H108" s="265"/>
      <c r="I108" s="25" t="s">
        <v>18</v>
      </c>
      <c r="J108" s="265"/>
      <c r="K108" s="25" t="s">
        <v>19</v>
      </c>
      <c r="L108" s="25" t="s">
        <v>20</v>
      </c>
      <c r="M108" s="27" t="s">
        <v>21</v>
      </c>
    </row>
    <row r="109" spans="1:15" s="18" customFormat="1" ht="21.75" customHeight="1">
      <c r="A109" s="210" t="s">
        <v>108</v>
      </c>
      <c r="B109" s="97" t="s">
        <v>18</v>
      </c>
      <c r="C109" s="31">
        <f>+G109*100/J110</f>
        <v>471743.58130348916</v>
      </c>
      <c r="D109" s="31">
        <f>+D110*$G$109/100</f>
        <v>416077.83870967745</v>
      </c>
      <c r="E109" s="31">
        <f t="shared" ref="E109:F109" si="10">+E110*$G$109/100</f>
        <v>32361.609677419354</v>
      </c>
      <c r="F109" s="31">
        <f t="shared" si="10"/>
        <v>13869.261290322582</v>
      </c>
      <c r="G109" s="31">
        <f>+H109*I109</f>
        <v>462308.70967741939</v>
      </c>
      <c r="H109" s="30">
        <v>30</v>
      </c>
      <c r="I109" s="31">
        <v>15410.290322580646</v>
      </c>
      <c r="J109" s="32"/>
      <c r="K109" s="32"/>
      <c r="L109" s="32"/>
      <c r="M109" s="98">
        <v>40</v>
      </c>
      <c r="O109" s="71">
        <f>+G109/H109</f>
        <v>15410.290322580646</v>
      </c>
    </row>
    <row r="110" spans="1:15" s="18" customFormat="1" ht="21.75" customHeight="1" thickBot="1">
      <c r="A110" s="211"/>
      <c r="B110" s="99" t="s">
        <v>24</v>
      </c>
      <c r="C110" s="100"/>
      <c r="D110" s="101">
        <v>90</v>
      </c>
      <c r="E110" s="101">
        <v>7</v>
      </c>
      <c r="F110" s="101">
        <v>3</v>
      </c>
      <c r="G110" s="101">
        <v>100</v>
      </c>
      <c r="H110" s="51"/>
      <c r="I110" s="51"/>
      <c r="J110" s="102">
        <v>98</v>
      </c>
      <c r="K110" s="212">
        <v>2</v>
      </c>
      <c r="L110" s="213"/>
      <c r="M110" s="103"/>
      <c r="O110" s="20"/>
    </row>
    <row r="111" spans="1:15" s="18" customFormat="1" ht="21.75" customHeight="1">
      <c r="A111" s="214" t="s">
        <v>75</v>
      </c>
      <c r="B111" s="104" t="s">
        <v>18</v>
      </c>
      <c r="C111" s="105">
        <f>+C109</f>
        <v>471743.58130348916</v>
      </c>
      <c r="D111" s="105">
        <f t="shared" ref="D111:I111" si="11">+D109</f>
        <v>416077.83870967745</v>
      </c>
      <c r="E111" s="105">
        <f t="shared" si="11"/>
        <v>32361.609677419354</v>
      </c>
      <c r="F111" s="105">
        <f t="shared" si="11"/>
        <v>13869.261290322582</v>
      </c>
      <c r="G111" s="105">
        <f>+G109</f>
        <v>462308.70967741939</v>
      </c>
      <c r="H111" s="106">
        <f t="shared" si="11"/>
        <v>30</v>
      </c>
      <c r="I111" s="105">
        <f t="shared" si="11"/>
        <v>15410.290322580646</v>
      </c>
      <c r="J111" s="107"/>
      <c r="K111" s="107"/>
      <c r="L111" s="107"/>
      <c r="M111" s="108"/>
    </row>
    <row r="112" spans="1:15" s="18" customFormat="1" ht="21.75" customHeight="1" thickBot="1">
      <c r="A112" s="215"/>
      <c r="B112" s="109" t="s">
        <v>24</v>
      </c>
      <c r="C112" s="110"/>
      <c r="D112" s="130">
        <f>+D110</f>
        <v>90</v>
      </c>
      <c r="E112" s="130">
        <f t="shared" ref="E112:F112" si="12">+E110</f>
        <v>7</v>
      </c>
      <c r="F112" s="130">
        <f t="shared" si="12"/>
        <v>3</v>
      </c>
      <c r="G112" s="110">
        <v>100</v>
      </c>
      <c r="H112" s="110"/>
      <c r="I112" s="110"/>
      <c r="J112" s="111">
        <f>+J110</f>
        <v>98</v>
      </c>
      <c r="K112" s="216">
        <f>+K110</f>
        <v>2</v>
      </c>
      <c r="L112" s="217"/>
      <c r="M112" s="112"/>
    </row>
    <row r="113" spans="1:13" s="18" customFormat="1" ht="21.75" customHeight="1">
      <c r="A113" s="210" t="s">
        <v>109</v>
      </c>
      <c r="B113" s="69" t="s">
        <v>18</v>
      </c>
      <c r="C113" s="113">
        <f>+G113*100/J114</f>
        <v>481178.87999999995</v>
      </c>
      <c r="D113" s="113">
        <f>+D114*$G$113/100</f>
        <v>434716.2473472</v>
      </c>
      <c r="E113" s="113">
        <f t="shared" ref="E113:F113" si="13">+E114*$G$113/100</f>
        <v>23625.883007999997</v>
      </c>
      <c r="F113" s="113">
        <f t="shared" si="13"/>
        <v>14175.529804799999</v>
      </c>
      <c r="G113" s="31">
        <f>+H113*I113</f>
        <v>472517.66015999997</v>
      </c>
      <c r="H113" s="114">
        <v>30</v>
      </c>
      <c r="I113" s="113">
        <f>15.6*0.72*(1400)*0.982*1.02</f>
        <v>15750.588671999998</v>
      </c>
      <c r="J113" s="115"/>
      <c r="K113" s="326"/>
      <c r="L113" s="327"/>
      <c r="M113" s="116">
        <v>25</v>
      </c>
    </row>
    <row r="114" spans="1:13" s="18" customFormat="1" ht="21.75" customHeight="1" thickBot="1">
      <c r="A114" s="211"/>
      <c r="B114" s="69" t="s">
        <v>24</v>
      </c>
      <c r="C114" s="114"/>
      <c r="D114" s="114">
        <v>92</v>
      </c>
      <c r="E114" s="114">
        <v>5</v>
      </c>
      <c r="F114" s="114">
        <v>3</v>
      </c>
      <c r="G114" s="114">
        <v>100</v>
      </c>
      <c r="H114" s="114"/>
      <c r="I114" s="113"/>
      <c r="J114" s="117">
        <v>98.2</v>
      </c>
      <c r="K114" s="328">
        <v>1.8</v>
      </c>
      <c r="L114" s="329"/>
      <c r="M114" s="118"/>
    </row>
    <row r="115" spans="1:13" s="18" customFormat="1" ht="21.75" customHeight="1">
      <c r="A115" s="330" t="s">
        <v>76</v>
      </c>
      <c r="B115" s="119" t="s">
        <v>18</v>
      </c>
      <c r="C115" s="120">
        <f>+C113</f>
        <v>481178.87999999995</v>
      </c>
      <c r="D115" s="120">
        <f t="shared" ref="D115:I115" si="14">+D113</f>
        <v>434716.2473472</v>
      </c>
      <c r="E115" s="120">
        <f t="shared" si="14"/>
        <v>23625.883007999997</v>
      </c>
      <c r="F115" s="120">
        <f t="shared" si="14"/>
        <v>14175.529804799999</v>
      </c>
      <c r="G115" s="120">
        <f t="shared" si="14"/>
        <v>472517.66015999997</v>
      </c>
      <c r="H115" s="123">
        <f t="shared" si="14"/>
        <v>30</v>
      </c>
      <c r="I115" s="120">
        <f t="shared" si="14"/>
        <v>15750.588671999998</v>
      </c>
      <c r="J115" s="121"/>
      <c r="K115" s="332"/>
      <c r="L115" s="333"/>
      <c r="M115" s="122">
        <v>25</v>
      </c>
    </row>
    <row r="116" spans="1:13" s="18" customFormat="1" ht="21.75" customHeight="1">
      <c r="A116" s="331"/>
      <c r="B116" s="119" t="s">
        <v>24</v>
      </c>
      <c r="C116" s="123"/>
      <c r="D116" s="123">
        <v>91</v>
      </c>
      <c r="E116" s="123">
        <v>4</v>
      </c>
      <c r="F116" s="123">
        <v>5</v>
      </c>
      <c r="G116" s="123">
        <v>100</v>
      </c>
      <c r="H116" s="123"/>
      <c r="I116" s="123"/>
      <c r="J116" s="124">
        <f>+J114</f>
        <v>98.2</v>
      </c>
      <c r="K116" s="332">
        <f>+K114</f>
        <v>1.8</v>
      </c>
      <c r="L116" s="333"/>
      <c r="M116" s="125"/>
    </row>
    <row r="117" spans="1:13" s="128" customFormat="1" ht="21.75" customHeight="1">
      <c r="A117" s="337" t="s">
        <v>135</v>
      </c>
      <c r="B117" s="337"/>
      <c r="C117" s="337"/>
      <c r="D117" s="337"/>
      <c r="E117" s="337"/>
      <c r="F117" s="337"/>
      <c r="G117" s="337"/>
      <c r="H117" s="337"/>
      <c r="I117" s="337"/>
      <c r="J117" s="337"/>
      <c r="K117" s="337"/>
      <c r="L117" s="337"/>
      <c r="M117" s="337"/>
    </row>
    <row r="118" spans="1:13" s="18" customFormat="1" ht="21.75" customHeight="1">
      <c r="A118" s="17" t="s">
        <v>77</v>
      </c>
      <c r="D118" s="19"/>
      <c r="E118" s="19"/>
      <c r="G118" s="19"/>
    </row>
    <row r="119" spans="1:13" s="18" customFormat="1" ht="21.75" customHeight="1">
      <c r="A119" s="336" t="s">
        <v>78</v>
      </c>
      <c r="B119" s="336"/>
      <c r="C119" s="336"/>
      <c r="D119" s="336"/>
      <c r="E119" s="336"/>
      <c r="F119" s="336"/>
      <c r="G119" s="336"/>
      <c r="H119" s="336"/>
      <c r="I119" s="336"/>
      <c r="J119" s="336"/>
      <c r="K119" s="336"/>
      <c r="L119" s="336"/>
      <c r="M119" s="336"/>
    </row>
    <row r="120" spans="1:13" s="18" customFormat="1" ht="21.75" customHeight="1">
      <c r="A120" s="191" t="s">
        <v>143</v>
      </c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</row>
    <row r="121" spans="1:13" s="18" customFormat="1" ht="21.75" customHeight="1">
      <c r="A121" s="191" t="s">
        <v>170</v>
      </c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</row>
    <row r="122" spans="1:13" s="18" customFormat="1" ht="21.75" customHeight="1">
      <c r="A122" s="191" t="s">
        <v>106</v>
      </c>
      <c r="B122" s="191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</row>
    <row r="123" spans="1:13" s="18" customFormat="1" ht="21.75" customHeight="1">
      <c r="A123" s="336" t="s">
        <v>79</v>
      </c>
      <c r="B123" s="336"/>
      <c r="C123" s="336"/>
      <c r="D123" s="336"/>
      <c r="E123" s="336"/>
      <c r="F123" s="336"/>
      <c r="G123" s="336"/>
      <c r="H123" s="336"/>
      <c r="I123" s="336"/>
      <c r="J123" s="336"/>
      <c r="K123" s="336"/>
      <c r="L123" s="336"/>
      <c r="M123" s="336"/>
    </row>
    <row r="124" spans="1:13" s="18" customFormat="1" ht="21.75" customHeight="1">
      <c r="A124" s="191" t="s">
        <v>147</v>
      </c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</row>
    <row r="125" spans="1:13" s="18" customFormat="1" ht="21.75" customHeight="1">
      <c r="A125" s="126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</row>
    <row r="126" spans="1:13" s="18" customFormat="1" ht="21.75" customHeight="1">
      <c r="D126" s="19"/>
      <c r="E126" s="19"/>
      <c r="G126" s="19"/>
      <c r="I126" s="335" t="s">
        <v>145</v>
      </c>
      <c r="J126" s="335"/>
      <c r="K126" s="335"/>
      <c r="L126" s="335"/>
      <c r="M126" s="335"/>
    </row>
    <row r="127" spans="1:13" s="18" customFormat="1" ht="21.75" customHeight="1">
      <c r="D127" s="334" t="s">
        <v>85</v>
      </c>
      <c r="E127" s="334"/>
      <c r="G127" s="334" t="s">
        <v>80</v>
      </c>
      <c r="H127" s="334"/>
      <c r="J127" s="334" t="s">
        <v>70</v>
      </c>
      <c r="K127" s="334"/>
      <c r="L127" s="334"/>
      <c r="M127" s="17"/>
    </row>
    <row r="128" spans="1:13" s="18" customFormat="1" ht="21.75" customHeight="1">
      <c r="D128" s="19"/>
      <c r="E128" s="19"/>
      <c r="G128" s="334"/>
      <c r="H128" s="334"/>
      <c r="J128" s="334"/>
      <c r="K128" s="334"/>
      <c r="L128" s="334"/>
    </row>
    <row r="129" spans="1:12" s="18" customFormat="1" ht="21.75" customHeight="1">
      <c r="D129" s="19"/>
      <c r="E129" s="19"/>
      <c r="G129" s="334"/>
      <c r="H129" s="334"/>
      <c r="J129" s="334"/>
      <c r="K129" s="334"/>
      <c r="L129" s="334"/>
    </row>
    <row r="130" spans="1:12" s="18" customFormat="1" ht="21.75" customHeight="1">
      <c r="D130" s="19"/>
      <c r="E130" s="19"/>
      <c r="G130" s="334"/>
      <c r="H130" s="334"/>
      <c r="J130" s="334"/>
      <c r="K130" s="334"/>
      <c r="L130" s="334"/>
    </row>
    <row r="131" spans="1:12" s="18" customFormat="1" ht="21.75" customHeight="1">
      <c r="D131" s="19"/>
      <c r="E131" s="19"/>
      <c r="G131" s="334" t="s">
        <v>81</v>
      </c>
      <c r="H131" s="334"/>
      <c r="I131" s="17"/>
      <c r="J131" s="334" t="s">
        <v>71</v>
      </c>
      <c r="K131" s="334"/>
      <c r="L131" s="334"/>
    </row>
    <row r="132" spans="1:12" s="18" customFormat="1" ht="21.75" customHeight="1">
      <c r="A132" s="18" t="s">
        <v>72</v>
      </c>
      <c r="D132" s="19"/>
      <c r="E132" s="19"/>
      <c r="G132" s="19"/>
    </row>
    <row r="133" spans="1:12" s="18" customFormat="1" ht="21.75" customHeight="1">
      <c r="A133" s="18" t="s">
        <v>86</v>
      </c>
      <c r="D133" s="19"/>
      <c r="E133" s="19"/>
      <c r="G133" s="19"/>
    </row>
    <row r="134" spans="1:12" s="18" customFormat="1" ht="21.75" customHeight="1">
      <c r="A134" s="18" t="s">
        <v>73</v>
      </c>
      <c r="D134" s="19"/>
      <c r="E134" s="19"/>
      <c r="G134" s="19"/>
    </row>
    <row r="135" spans="1:12" s="18" customFormat="1" ht="21.75" customHeight="1">
      <c r="A135" s="18" t="s">
        <v>74</v>
      </c>
      <c r="D135" s="19"/>
      <c r="E135" s="19"/>
      <c r="G135" s="19"/>
    </row>
    <row r="136" spans="1:12" s="18" customFormat="1" ht="21.75" customHeight="1">
      <c r="D136" s="19"/>
      <c r="E136" s="19"/>
      <c r="G136" s="19"/>
    </row>
    <row r="137" spans="1:12" s="18" customFormat="1" ht="21.75" customHeight="1">
      <c r="D137" s="19"/>
      <c r="E137" s="19"/>
      <c r="G137" s="19"/>
    </row>
    <row r="138" spans="1:12" s="18" customFormat="1" ht="21.75" customHeight="1">
      <c r="D138" s="19"/>
      <c r="E138" s="19"/>
      <c r="G138" s="19"/>
    </row>
  </sheetData>
  <mergeCells count="397">
    <mergeCell ref="I99:L99"/>
    <mergeCell ref="B100:B101"/>
    <mergeCell ref="G100:H100"/>
    <mergeCell ref="B102:B104"/>
    <mergeCell ref="C102:C104"/>
    <mergeCell ref="G103:H103"/>
    <mergeCell ref="G104:H104"/>
    <mergeCell ref="B98:B99"/>
    <mergeCell ref="C98:C99"/>
    <mergeCell ref="G98:H98"/>
    <mergeCell ref="G99:H99"/>
    <mergeCell ref="G78:H78"/>
    <mergeCell ref="K78:M78"/>
    <mergeCell ref="G72:H72"/>
    <mergeCell ref="K72:M72"/>
    <mergeCell ref="G73:H73"/>
    <mergeCell ref="K73:M73"/>
    <mergeCell ref="G96:H96"/>
    <mergeCell ref="I96:L96"/>
    <mergeCell ref="G97:H97"/>
    <mergeCell ref="I97:L97"/>
    <mergeCell ref="G71:H71"/>
    <mergeCell ref="K71:M71"/>
    <mergeCell ref="G68:H68"/>
    <mergeCell ref="G66:H66"/>
    <mergeCell ref="K66:M66"/>
    <mergeCell ref="G74:H74"/>
    <mergeCell ref="G67:H67"/>
    <mergeCell ref="K67:M67"/>
    <mergeCell ref="K68:M68"/>
    <mergeCell ref="G69:H69"/>
    <mergeCell ref="K69:M69"/>
    <mergeCell ref="K74:M74"/>
    <mergeCell ref="G70:H70"/>
    <mergeCell ref="K70:M70"/>
    <mergeCell ref="A31:A32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A29:A30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A25:A26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K113:L113"/>
    <mergeCell ref="K114:L114"/>
    <mergeCell ref="A115:A116"/>
    <mergeCell ref="K115:L115"/>
    <mergeCell ref="K116:L116"/>
    <mergeCell ref="G131:H131"/>
    <mergeCell ref="J131:L131"/>
    <mergeCell ref="D127:E127"/>
    <mergeCell ref="G127:H127"/>
    <mergeCell ref="J127:L127"/>
    <mergeCell ref="G128:H128"/>
    <mergeCell ref="J128:L128"/>
    <mergeCell ref="G129:H129"/>
    <mergeCell ref="J129:L129"/>
    <mergeCell ref="I126:M126"/>
    <mergeCell ref="A113:A114"/>
    <mergeCell ref="A120:M120"/>
    <mergeCell ref="A123:M123"/>
    <mergeCell ref="A124:M124"/>
    <mergeCell ref="G130:H130"/>
    <mergeCell ref="J130:L130"/>
    <mergeCell ref="A122:M122"/>
    <mergeCell ref="A119:M119"/>
    <mergeCell ref="A117:M117"/>
    <mergeCell ref="A107:B107"/>
    <mergeCell ref="C107:C108"/>
    <mergeCell ref="D107:F107"/>
    <mergeCell ref="G107:G108"/>
    <mergeCell ref="H107:H108"/>
    <mergeCell ref="J107:J108"/>
    <mergeCell ref="B85:C85"/>
    <mergeCell ref="B86:C86"/>
    <mergeCell ref="A105:E105"/>
    <mergeCell ref="G105:L105"/>
    <mergeCell ref="G95:H95"/>
    <mergeCell ref="I101:L101"/>
    <mergeCell ref="I95:L95"/>
    <mergeCell ref="G101:H101"/>
    <mergeCell ref="G94:H94"/>
    <mergeCell ref="I94:L94"/>
    <mergeCell ref="G102:H102"/>
    <mergeCell ref="A95:A102"/>
    <mergeCell ref="I102:L102"/>
    <mergeCell ref="B91:C91"/>
    <mergeCell ref="A92:C92"/>
    <mergeCell ref="C96:C97"/>
    <mergeCell ref="B96:B97"/>
    <mergeCell ref="C100:C101"/>
    <mergeCell ref="A57:A58"/>
    <mergeCell ref="B57:C57"/>
    <mergeCell ref="D57:E57"/>
    <mergeCell ref="F57:G57"/>
    <mergeCell ref="H57:I57"/>
    <mergeCell ref="J57:K57"/>
    <mergeCell ref="G64:H64"/>
    <mergeCell ref="K64:M64"/>
    <mergeCell ref="G65:H65"/>
    <mergeCell ref="K65:M65"/>
    <mergeCell ref="G62:H62"/>
    <mergeCell ref="K62:M62"/>
    <mergeCell ref="G63:H63"/>
    <mergeCell ref="K63:M63"/>
    <mergeCell ref="G60:H60"/>
    <mergeCell ref="K60:M60"/>
    <mergeCell ref="G61:H61"/>
    <mergeCell ref="K61:M61"/>
    <mergeCell ref="B58:C58"/>
    <mergeCell ref="D58:E58"/>
    <mergeCell ref="F58:G58"/>
    <mergeCell ref="H58:I58"/>
    <mergeCell ref="J58:K58"/>
    <mergeCell ref="L58:M58"/>
    <mergeCell ref="A55:A56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0:K50"/>
    <mergeCell ref="L49:M57"/>
    <mergeCell ref="A53:A54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A51:A52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A49:A50"/>
    <mergeCell ref="B49:C49"/>
    <mergeCell ref="B50:C50"/>
    <mergeCell ref="D50:E50"/>
    <mergeCell ref="F50:G50"/>
    <mergeCell ref="H50:I50"/>
    <mergeCell ref="A47:A48"/>
    <mergeCell ref="B47:C47"/>
    <mergeCell ref="D47:E47"/>
    <mergeCell ref="F47:G47"/>
    <mergeCell ref="H47:I47"/>
    <mergeCell ref="B48:C48"/>
    <mergeCell ref="D48:E48"/>
    <mergeCell ref="D49:E49"/>
    <mergeCell ref="A43:A44"/>
    <mergeCell ref="B43:C43"/>
    <mergeCell ref="D43:E43"/>
    <mergeCell ref="F43:G43"/>
    <mergeCell ref="H43:I43"/>
    <mergeCell ref="J43:K43"/>
    <mergeCell ref="F49:G49"/>
    <mergeCell ref="H49:I49"/>
    <mergeCell ref="J49:K49"/>
    <mergeCell ref="J47:K47"/>
    <mergeCell ref="A45:A46"/>
    <mergeCell ref="B45:C45"/>
    <mergeCell ref="D45:E45"/>
    <mergeCell ref="F45:G45"/>
    <mergeCell ref="H45:I45"/>
    <mergeCell ref="J45:K45"/>
    <mergeCell ref="B46:C46"/>
    <mergeCell ref="D46:E46"/>
    <mergeCell ref="F46:G46"/>
    <mergeCell ref="B38:C38"/>
    <mergeCell ref="D38:E38"/>
    <mergeCell ref="F38:G38"/>
    <mergeCell ref="H38:I38"/>
    <mergeCell ref="J38:K38"/>
    <mergeCell ref="A41:A42"/>
    <mergeCell ref="B41:C41"/>
    <mergeCell ref="D41:E41"/>
    <mergeCell ref="F41:G41"/>
    <mergeCell ref="H41:I41"/>
    <mergeCell ref="J41:K41"/>
    <mergeCell ref="A39:A40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B42:C42"/>
    <mergeCell ref="D42:E42"/>
    <mergeCell ref="F42:G42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H22:I22"/>
    <mergeCell ref="H28:I28"/>
    <mergeCell ref="J28:K28"/>
    <mergeCell ref="A23:A24"/>
    <mergeCell ref="B23:C23"/>
    <mergeCell ref="A37:A38"/>
    <mergeCell ref="B37:C37"/>
    <mergeCell ref="D37:E37"/>
    <mergeCell ref="F37:G37"/>
    <mergeCell ref="H37:I37"/>
    <mergeCell ref="J37:K37"/>
    <mergeCell ref="A33:A34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A35:A36"/>
    <mergeCell ref="B35:C35"/>
    <mergeCell ref="B18:C18"/>
    <mergeCell ref="D18:E18"/>
    <mergeCell ref="F18:G18"/>
    <mergeCell ref="H18:I18"/>
    <mergeCell ref="J20:K20"/>
    <mergeCell ref="J22:K22"/>
    <mergeCell ref="A27:A28"/>
    <mergeCell ref="B27:C27"/>
    <mergeCell ref="D27:E27"/>
    <mergeCell ref="F27:G27"/>
    <mergeCell ref="H27:I27"/>
    <mergeCell ref="J27:K27"/>
    <mergeCell ref="B28:C28"/>
    <mergeCell ref="D28:E28"/>
    <mergeCell ref="F28:G28"/>
    <mergeCell ref="A21:A22"/>
    <mergeCell ref="B21:C21"/>
    <mergeCell ref="D21:E21"/>
    <mergeCell ref="F21:G21"/>
    <mergeCell ref="H21:I21"/>
    <mergeCell ref="J21:K21"/>
    <mergeCell ref="B22:C22"/>
    <mergeCell ref="D22:E22"/>
    <mergeCell ref="F22:G22"/>
    <mergeCell ref="H20:I20"/>
    <mergeCell ref="A17:A18"/>
    <mergeCell ref="B17:C17"/>
    <mergeCell ref="D17:E17"/>
    <mergeCell ref="F17:G17"/>
    <mergeCell ref="A3:M3"/>
    <mergeCell ref="A5:B5"/>
    <mergeCell ref="C5:C6"/>
    <mergeCell ref="D5:F5"/>
    <mergeCell ref="G5:G6"/>
    <mergeCell ref="H5:H6"/>
    <mergeCell ref="J5:J6"/>
    <mergeCell ref="H17:I17"/>
    <mergeCell ref="J17:K17"/>
    <mergeCell ref="A13:M13"/>
    <mergeCell ref="A15:A16"/>
    <mergeCell ref="B15:I15"/>
    <mergeCell ref="J15:K16"/>
    <mergeCell ref="L15:M16"/>
    <mergeCell ref="B16:C16"/>
    <mergeCell ref="D16:E16"/>
    <mergeCell ref="F16:G16"/>
    <mergeCell ref="H16:I16"/>
    <mergeCell ref="L17:M38"/>
    <mergeCell ref="J52:K52"/>
    <mergeCell ref="J54:K54"/>
    <mergeCell ref="J56:K56"/>
    <mergeCell ref="B60:C60"/>
    <mergeCell ref="P6:R6"/>
    <mergeCell ref="A7:A8"/>
    <mergeCell ref="K8:L8"/>
    <mergeCell ref="A9:A10"/>
    <mergeCell ref="K10:L10"/>
    <mergeCell ref="A11:A12"/>
    <mergeCell ref="N18:O18"/>
    <mergeCell ref="P18:Q18"/>
    <mergeCell ref="R18:S18"/>
    <mergeCell ref="A19:A20"/>
    <mergeCell ref="B19:C19"/>
    <mergeCell ref="D19:E19"/>
    <mergeCell ref="F19:G19"/>
    <mergeCell ref="H19:I19"/>
    <mergeCell ref="J19:K19"/>
    <mergeCell ref="B20:C20"/>
    <mergeCell ref="J18:K18"/>
    <mergeCell ref="D20:E20"/>
    <mergeCell ref="F20:G20"/>
    <mergeCell ref="L39:M46"/>
    <mergeCell ref="J40:K40"/>
    <mergeCell ref="B44:C44"/>
    <mergeCell ref="D44:E44"/>
    <mergeCell ref="F44:G44"/>
    <mergeCell ref="H44:I44"/>
    <mergeCell ref="H46:I46"/>
    <mergeCell ref="J46:K46"/>
    <mergeCell ref="F48:G48"/>
    <mergeCell ref="H48:I48"/>
    <mergeCell ref="J48:K48"/>
    <mergeCell ref="H42:I42"/>
    <mergeCell ref="J42:K42"/>
    <mergeCell ref="J44:K44"/>
    <mergeCell ref="B61:C61"/>
    <mergeCell ref="B62:C62"/>
    <mergeCell ref="B63:C63"/>
    <mergeCell ref="B64:C64"/>
    <mergeCell ref="B65:C65"/>
    <mergeCell ref="B66:C66"/>
    <mergeCell ref="B67:C67"/>
    <mergeCell ref="B68:C68"/>
    <mergeCell ref="B77:C77"/>
    <mergeCell ref="B69:C69"/>
    <mergeCell ref="B70:C70"/>
    <mergeCell ref="B71:C71"/>
    <mergeCell ref="B72:C72"/>
    <mergeCell ref="B73:C73"/>
    <mergeCell ref="B74:C74"/>
    <mergeCell ref="B75:C75"/>
    <mergeCell ref="B76:C76"/>
    <mergeCell ref="A121:M121"/>
    <mergeCell ref="B78:C78"/>
    <mergeCell ref="B79:C79"/>
    <mergeCell ref="B80:C80"/>
    <mergeCell ref="B81:C81"/>
    <mergeCell ref="G77:H77"/>
    <mergeCell ref="G75:H75"/>
    <mergeCell ref="K75:M75"/>
    <mergeCell ref="G76:H76"/>
    <mergeCell ref="K76:M76"/>
    <mergeCell ref="G79:H79"/>
    <mergeCell ref="K79:M79"/>
    <mergeCell ref="G80:H80"/>
    <mergeCell ref="K80:M80"/>
    <mergeCell ref="A109:A110"/>
    <mergeCell ref="K110:L110"/>
    <mergeCell ref="A111:A112"/>
    <mergeCell ref="K112:L112"/>
    <mergeCell ref="G81:H81"/>
    <mergeCell ref="K81:M81"/>
    <mergeCell ref="B84:C84"/>
    <mergeCell ref="A82:G82"/>
    <mergeCell ref="K84:M84"/>
    <mergeCell ref="K85:M92"/>
  </mergeCells>
  <pageMargins left="0" right="0" top="0" bottom="0" header="0.3" footer="0.3"/>
  <pageSetup paperSize="9" scale="63" fitToHeight="0" orientation="landscape" horizontalDpi="300" verticalDpi="300" r:id="rId1"/>
  <rowBreaks count="2" manualBreakCount="2">
    <brk id="58" max="12" man="1"/>
    <brk id="92" max="12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selection activeCell="K13" sqref="K13"/>
    </sheetView>
  </sheetViews>
  <sheetFormatPr defaultRowHeight="15"/>
  <cols>
    <col min="1" max="1" width="5.7109375" customWidth="1"/>
    <col min="3" max="3" width="4.42578125" customWidth="1"/>
    <col min="4" max="4" width="11.42578125" customWidth="1"/>
    <col min="5" max="5" width="17" customWidth="1"/>
    <col min="6" max="6" width="7.140625" customWidth="1"/>
    <col min="7" max="7" width="13.42578125" customWidth="1"/>
    <col min="8" max="8" width="9.85546875" customWidth="1"/>
    <col min="9" max="9" width="11.5703125" customWidth="1"/>
    <col min="10" max="10" width="13.28515625" customWidth="1"/>
    <col min="11" max="11" width="15" customWidth="1"/>
    <col min="12" max="12" width="25" customWidth="1"/>
  </cols>
  <sheetData>
    <row r="1" spans="1:14" ht="42" customHeight="1">
      <c r="A1" s="9" t="s">
        <v>60</v>
      </c>
      <c r="B1" s="350" t="s">
        <v>61</v>
      </c>
      <c r="C1" s="351"/>
      <c r="D1" s="4" t="s">
        <v>62</v>
      </c>
      <c r="E1" s="5" t="s">
        <v>82</v>
      </c>
      <c r="F1" s="6" t="s">
        <v>84</v>
      </c>
      <c r="G1" s="7" t="s">
        <v>88</v>
      </c>
      <c r="H1" s="6" t="s">
        <v>93</v>
      </c>
      <c r="I1" s="8" t="s">
        <v>63</v>
      </c>
      <c r="J1" s="8" t="s">
        <v>87</v>
      </c>
      <c r="K1" s="9" t="s">
        <v>64</v>
      </c>
      <c r="L1" s="352" t="s">
        <v>32</v>
      </c>
      <c r="M1" s="352"/>
      <c r="N1" s="352"/>
    </row>
    <row r="2" spans="1:14" ht="15.75">
      <c r="A2" s="15">
        <v>1</v>
      </c>
      <c r="B2" s="348" t="s">
        <v>65</v>
      </c>
      <c r="C2" s="349"/>
      <c r="D2" s="10">
        <v>2</v>
      </c>
      <c r="E2" s="10">
        <v>2</v>
      </c>
      <c r="F2" s="10"/>
      <c r="G2" s="10"/>
      <c r="H2" s="10"/>
      <c r="I2" s="11"/>
      <c r="J2" s="11">
        <f>+E2+F2+G2-H2-I2</f>
        <v>2</v>
      </c>
      <c r="K2" s="11">
        <f>+D2-J2</f>
        <v>0</v>
      </c>
      <c r="L2" s="353" t="s">
        <v>94</v>
      </c>
      <c r="M2" s="354"/>
      <c r="N2" s="355"/>
    </row>
    <row r="3" spans="1:14" ht="15.75">
      <c r="A3" s="15">
        <v>2</v>
      </c>
      <c r="B3" s="348" t="s">
        <v>89</v>
      </c>
      <c r="C3" s="349"/>
      <c r="D3" s="10">
        <v>18</v>
      </c>
      <c r="E3" s="10">
        <v>15</v>
      </c>
      <c r="F3" s="10">
        <v>1</v>
      </c>
      <c r="G3" s="10">
        <v>1</v>
      </c>
      <c r="H3" s="10"/>
      <c r="I3" s="11">
        <v>1</v>
      </c>
      <c r="J3" s="11">
        <f t="shared" ref="J3:J7" si="0">+E3+F3+G3-H3-I3</f>
        <v>16</v>
      </c>
      <c r="K3" s="11">
        <f>+D3-J3</f>
        <v>2</v>
      </c>
      <c r="L3" s="356" t="s">
        <v>95</v>
      </c>
      <c r="M3" s="357"/>
      <c r="N3" s="358"/>
    </row>
    <row r="4" spans="1:14" ht="15.75">
      <c r="A4" s="15">
        <v>3</v>
      </c>
      <c r="B4" s="348" t="s">
        <v>90</v>
      </c>
      <c r="C4" s="349"/>
      <c r="D4" s="10">
        <v>17</v>
      </c>
      <c r="E4" s="10">
        <v>16</v>
      </c>
      <c r="F4" s="10">
        <v>2</v>
      </c>
      <c r="G4" s="10"/>
      <c r="H4" s="10">
        <v>1</v>
      </c>
      <c r="I4" s="11">
        <v>1</v>
      </c>
      <c r="J4" s="11">
        <f t="shared" si="0"/>
        <v>16</v>
      </c>
      <c r="K4" s="11">
        <f>+D4-J4</f>
        <v>1</v>
      </c>
      <c r="L4" s="356"/>
      <c r="M4" s="357"/>
      <c r="N4" s="358"/>
    </row>
    <row r="5" spans="1:14" ht="15.75">
      <c r="A5" s="15">
        <v>4</v>
      </c>
      <c r="B5" s="16" t="s">
        <v>91</v>
      </c>
      <c r="C5" s="16"/>
      <c r="D5" s="10">
        <v>17</v>
      </c>
      <c r="E5" s="10">
        <v>16</v>
      </c>
      <c r="F5" s="10"/>
      <c r="G5" s="10">
        <v>1</v>
      </c>
      <c r="H5" s="10"/>
      <c r="I5" s="11"/>
      <c r="J5" s="11">
        <f t="shared" si="0"/>
        <v>17</v>
      </c>
      <c r="K5" s="11">
        <f t="shared" ref="K5:K7" si="1">+D5-J5</f>
        <v>0</v>
      </c>
      <c r="L5" s="356"/>
      <c r="M5" s="357"/>
      <c r="N5" s="358"/>
    </row>
    <row r="6" spans="1:14" ht="15.75">
      <c r="A6" s="15">
        <v>5</v>
      </c>
      <c r="B6" s="348" t="s">
        <v>92</v>
      </c>
      <c r="C6" s="349"/>
      <c r="D6" s="10">
        <v>7</v>
      </c>
      <c r="E6" s="10">
        <v>7</v>
      </c>
      <c r="F6" s="10"/>
      <c r="G6" s="10"/>
      <c r="H6" s="10"/>
      <c r="I6" s="11"/>
      <c r="J6" s="11">
        <f t="shared" si="0"/>
        <v>7</v>
      </c>
      <c r="K6" s="11">
        <f t="shared" si="1"/>
        <v>0</v>
      </c>
      <c r="L6" s="356"/>
      <c r="M6" s="357"/>
      <c r="N6" s="358"/>
    </row>
    <row r="7" spans="1:14" ht="15.75">
      <c r="A7" s="15">
        <v>6</v>
      </c>
      <c r="B7" s="348" t="s">
        <v>69</v>
      </c>
      <c r="C7" s="349"/>
      <c r="D7" s="10">
        <v>1</v>
      </c>
      <c r="E7" s="10">
        <v>1</v>
      </c>
      <c r="F7" s="10"/>
      <c r="G7" s="10"/>
      <c r="H7" s="10"/>
      <c r="I7" s="11"/>
      <c r="J7" s="11">
        <f t="shared" si="0"/>
        <v>1</v>
      </c>
      <c r="K7" s="11">
        <f t="shared" si="1"/>
        <v>0</v>
      </c>
      <c r="L7" s="356"/>
      <c r="M7" s="357"/>
      <c r="N7" s="358"/>
    </row>
    <row r="8" spans="1:14" ht="15.75">
      <c r="A8" s="350" t="s">
        <v>47</v>
      </c>
      <c r="B8" s="362"/>
      <c r="C8" s="351"/>
      <c r="D8" s="12">
        <f>+SUM(D2:D7)</f>
        <v>62</v>
      </c>
      <c r="E8" s="13">
        <f>+SUM(E2:E7)</f>
        <v>57</v>
      </c>
      <c r="F8" s="13">
        <f>+SUM(F2:F7)</f>
        <v>3</v>
      </c>
      <c r="G8" s="13">
        <f t="shared" ref="G8:I8" si="2">+SUM(G2:G7)</f>
        <v>2</v>
      </c>
      <c r="H8" s="13">
        <f t="shared" si="2"/>
        <v>1</v>
      </c>
      <c r="I8" s="13">
        <f t="shared" si="2"/>
        <v>2</v>
      </c>
      <c r="J8" s="14">
        <f>+SUM(J2:J7)</f>
        <v>59</v>
      </c>
      <c r="K8" s="14">
        <f>SUM(K2:K7)</f>
        <v>3</v>
      </c>
      <c r="L8" s="359"/>
      <c r="M8" s="360"/>
      <c r="N8" s="361"/>
    </row>
  </sheetData>
  <mergeCells count="10">
    <mergeCell ref="B4:C4"/>
    <mergeCell ref="B6:C6"/>
    <mergeCell ref="B1:C1"/>
    <mergeCell ref="L1:N1"/>
    <mergeCell ref="B2:C2"/>
    <mergeCell ref="L2:N2"/>
    <mergeCell ref="B3:C3"/>
    <mergeCell ref="L3:N8"/>
    <mergeCell ref="B7:C7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T8.25</vt:lpstr>
      <vt:lpstr>Nhân sự TBTM</vt:lpstr>
      <vt:lpstr>T8.25!Print_Area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2026-08-05T01:36:55Z</cp:lastPrinted>
  <dcterms:created xsi:type="dcterms:W3CDTF">2025-07-03T04:29:58Z</dcterms:created>
  <dcterms:modified xsi:type="dcterms:W3CDTF">2026-09-03T08:58:02Z</dcterms:modified>
</cp:coreProperties>
</file>