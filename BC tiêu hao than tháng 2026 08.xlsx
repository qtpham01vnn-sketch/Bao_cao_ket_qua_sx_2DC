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432" windowWidth="23256" windowHeight="12636"/>
  </bookViews>
  <sheets>
    <sheet name="BC " sheetId="6" r:id="rId1"/>
  </sheets>
  <definedNames>
    <definedName name="_xlnm.Print_Area" localSheetId="0">'BC '!$B$1:$V$146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0" i="6" l="1"/>
  <c r="O30" i="6"/>
  <c r="O17" i="6"/>
  <c r="T30" i="6" l="1"/>
  <c r="T17" i="6"/>
  <c r="T14" i="6"/>
  <c r="T11" i="6"/>
  <c r="Q9" i="6"/>
  <c r="Q25" i="6"/>
  <c r="Q11" i="6"/>
  <c r="T27" i="6"/>
  <c r="T25" i="6"/>
  <c r="T23" i="6"/>
  <c r="T18" i="6"/>
  <c r="T36" i="6" l="1"/>
  <c r="T37" i="6"/>
  <c r="T35" i="6"/>
  <c r="T12" i="6" l="1"/>
  <c r="M46" i="6" l="1"/>
  <c r="M62" i="6" l="1"/>
  <c r="M48" i="6"/>
  <c r="M61" i="6" s="1"/>
  <c r="M47" i="6"/>
  <c r="M60" i="6" s="1"/>
  <c r="M59" i="6"/>
  <c r="M45" i="6"/>
  <c r="M58" i="6" s="1"/>
  <c r="M44" i="6"/>
  <c r="M57" i="6" s="1"/>
  <c r="M43" i="6"/>
  <c r="M56" i="6" s="1"/>
  <c r="M42" i="6"/>
  <c r="M55" i="6" s="1"/>
  <c r="R38" i="6"/>
  <c r="P38" i="6"/>
  <c r="O38" i="6"/>
  <c r="K38" i="6"/>
  <c r="M38" i="6"/>
  <c r="M29" i="6"/>
  <c r="M30" i="6"/>
  <c r="M16" i="6"/>
  <c r="Q36" i="6"/>
  <c r="Q37" i="6"/>
  <c r="N10" i="6"/>
  <c r="N11" i="6"/>
  <c r="N12" i="6"/>
  <c r="N13" i="6"/>
  <c r="N14" i="6"/>
  <c r="N15" i="6"/>
  <c r="R30" i="6"/>
  <c r="K30" i="6"/>
  <c r="K29" i="6"/>
  <c r="U9" i="6"/>
  <c r="R17" i="6"/>
  <c r="R18" i="6" s="1"/>
  <c r="N36" i="6"/>
  <c r="N37" i="6"/>
  <c r="R48" i="6"/>
  <c r="R61" i="6" s="1"/>
  <c r="R46" i="6"/>
  <c r="R59" i="6" s="1"/>
  <c r="R44" i="6"/>
  <c r="R57" i="6" s="1"/>
  <c r="R42" i="6"/>
  <c r="Q10" i="6"/>
  <c r="U11" i="6"/>
  <c r="Q12" i="6"/>
  <c r="Q13" i="6"/>
  <c r="Q14" i="6"/>
  <c r="Q15" i="6"/>
  <c r="P17" i="6"/>
  <c r="P18" i="6" s="1"/>
  <c r="O18" i="6"/>
  <c r="M17" i="6"/>
  <c r="K17" i="6"/>
  <c r="K16" i="6"/>
  <c r="S36" i="6"/>
  <c r="S37" i="6"/>
  <c r="K18" i="6" l="1"/>
  <c r="N38" i="6"/>
  <c r="Q38" i="6"/>
  <c r="M50" i="6"/>
  <c r="M49" i="6"/>
  <c r="N16" i="6"/>
  <c r="N17" i="6"/>
  <c r="Q17" i="6"/>
  <c r="U17" i="6" s="1"/>
  <c r="K31" i="6"/>
  <c r="M31" i="6"/>
  <c r="R50" i="6"/>
  <c r="R51" i="6" s="1"/>
  <c r="R55" i="6"/>
  <c r="R64" i="6" s="1"/>
  <c r="S18" i="6"/>
  <c r="M18" i="6"/>
  <c r="N18" i="6" s="1"/>
  <c r="Q16" i="6"/>
  <c r="S17" i="6"/>
  <c r="Q18" i="6" l="1"/>
  <c r="P46" i="6" l="1"/>
  <c r="P59" i="6" s="1"/>
  <c r="S14" i="6" l="1"/>
  <c r="O42" i="6"/>
  <c r="O55" i="6" s="1"/>
  <c r="O64" i="6" s="1"/>
  <c r="K62" i="6" l="1"/>
  <c r="K48" i="6"/>
  <c r="T48" i="6" s="1"/>
  <c r="Q62" i="6" l="1"/>
  <c r="N62" i="6"/>
  <c r="K61" i="6"/>
  <c r="N48" i="6"/>
  <c r="S48" i="6"/>
  <c r="Q48" i="6"/>
  <c r="N61" i="6" l="1"/>
  <c r="T61" i="6"/>
  <c r="S61" i="6"/>
  <c r="Q61" i="6"/>
  <c r="P30" i="6"/>
  <c r="P44" i="6" l="1"/>
  <c r="P50" i="6" s="1"/>
  <c r="O44" i="6"/>
  <c r="L64" i="6" l="1"/>
  <c r="L63" i="6"/>
  <c r="L50" i="6"/>
  <c r="L49" i="6"/>
  <c r="L51" i="6" s="1"/>
  <c r="T9" i="6"/>
  <c r="T38" i="6" l="1"/>
  <c r="L65" i="6"/>
  <c r="S38" i="6"/>
  <c r="S23" i="6"/>
  <c r="P31" i="6"/>
  <c r="R31" i="6"/>
  <c r="Q24" i="6" l="1"/>
  <c r="U25" i="6"/>
  <c r="Q26" i="6"/>
  <c r="Q27" i="6"/>
  <c r="Q28" i="6"/>
  <c r="Q23" i="6"/>
  <c r="U23" i="6" s="1"/>
  <c r="U18" i="6" l="1"/>
  <c r="P45" i="6" l="1"/>
  <c r="P58" i="6" s="1"/>
  <c r="O29" i="6" l="1"/>
  <c r="O45" i="6"/>
  <c r="O58" i="6" s="1"/>
  <c r="K44" i="6"/>
  <c r="M64" i="6" l="1"/>
  <c r="M63" i="6"/>
  <c r="K57" i="6"/>
  <c r="N57" i="6" s="1"/>
  <c r="Q44" i="6"/>
  <c r="U44" i="6" s="1"/>
  <c r="T44" i="6"/>
  <c r="N44" i="6"/>
  <c r="O63" i="6"/>
  <c r="O49" i="6"/>
  <c r="S44" i="6"/>
  <c r="P51" i="6"/>
  <c r="P57" i="6"/>
  <c r="O31" i="6"/>
  <c r="M65" i="6" l="1"/>
  <c r="M51" i="6"/>
  <c r="P64" i="6"/>
  <c r="P65" i="6" s="1"/>
  <c r="O65" i="6"/>
  <c r="O51" i="6"/>
  <c r="N24" i="6" l="1"/>
  <c r="N25" i="6"/>
  <c r="N26" i="6"/>
  <c r="N27" i="6"/>
  <c r="N28" i="6"/>
  <c r="L30" i="6"/>
  <c r="L29" i="6"/>
  <c r="Q29" i="6" l="1"/>
  <c r="S30" i="6"/>
  <c r="Q30" i="6"/>
  <c r="U30" i="6" s="1"/>
  <c r="N30" i="6"/>
  <c r="N29" i="6"/>
  <c r="K47" i="6"/>
  <c r="K45" i="6"/>
  <c r="K43" i="6"/>
  <c r="Q45" i="6" l="1"/>
  <c r="N45" i="6"/>
  <c r="Q47" i="6"/>
  <c r="N47" i="6"/>
  <c r="K56" i="6"/>
  <c r="N56" i="6" s="1"/>
  <c r="Q43" i="6"/>
  <c r="N43" i="6"/>
  <c r="K60" i="6"/>
  <c r="N60" i="6" s="1"/>
  <c r="K58" i="6"/>
  <c r="N58" i="6" s="1"/>
  <c r="K49" i="6"/>
  <c r="T31" i="6"/>
  <c r="S31" i="6"/>
  <c r="Q31" i="6"/>
  <c r="N31" i="6"/>
  <c r="Q60" i="6" l="1"/>
  <c r="Q58" i="6"/>
  <c r="Q56" i="6"/>
  <c r="K63" i="6"/>
  <c r="Q63" i="6" s="1"/>
  <c r="Q49" i="6"/>
  <c r="N49" i="6"/>
  <c r="P42" i="6"/>
  <c r="O46" i="6"/>
  <c r="O59" i="6" s="1"/>
  <c r="K46" i="6"/>
  <c r="K42" i="6"/>
  <c r="T42" i="6" s="1"/>
  <c r="L38" i="6"/>
  <c r="S35" i="6"/>
  <c r="Q35" i="6"/>
  <c r="U35" i="6" s="1"/>
  <c r="N35" i="6"/>
  <c r="K55" i="6" l="1"/>
  <c r="K50" i="6"/>
  <c r="T46" i="6"/>
  <c r="Q46" i="6"/>
  <c r="N46" i="6"/>
  <c r="K59" i="6"/>
  <c r="N59" i="6" s="1"/>
  <c r="N63" i="6"/>
  <c r="U38" i="6"/>
  <c r="Q42" i="6"/>
  <c r="U42" i="6" s="1"/>
  <c r="S42" i="6"/>
  <c r="S46" i="6"/>
  <c r="P55" i="6"/>
  <c r="Q55" i="6" s="1"/>
  <c r="U55" i="6" s="1"/>
  <c r="N42" i="6"/>
  <c r="T55" i="6" l="1"/>
  <c r="Q57" i="6"/>
  <c r="U57" i="6" s="1"/>
  <c r="Q59" i="6"/>
  <c r="K64" i="6"/>
  <c r="K65" i="6" s="1"/>
  <c r="Q50" i="6"/>
  <c r="U50" i="6" s="1"/>
  <c r="S50" i="6"/>
  <c r="T50" i="6"/>
  <c r="N50" i="6"/>
  <c r="K51" i="6"/>
  <c r="T59" i="6"/>
  <c r="T57" i="6"/>
  <c r="Q64" i="6" l="1"/>
  <c r="U64" i="6" s="1"/>
  <c r="Q51" i="6"/>
  <c r="U51" i="6" s="1"/>
  <c r="N51" i="6"/>
  <c r="S64" i="6"/>
  <c r="R65" i="6"/>
  <c r="S65" i="6" s="1"/>
  <c r="T64" i="6"/>
  <c r="N64" i="6"/>
  <c r="N65" i="6"/>
  <c r="T51" i="6"/>
  <c r="S51" i="6"/>
  <c r="Q65" i="6" l="1"/>
  <c r="U65" i="6" s="1"/>
  <c r="T65" i="6"/>
  <c r="N9" i="6" l="1"/>
  <c r="L31" i="6" l="1"/>
  <c r="S27" i="6"/>
  <c r="S25" i="6"/>
  <c r="N23" i="6"/>
  <c r="L18" i="6"/>
  <c r="S12" i="6"/>
  <c r="S11" i="6"/>
  <c r="S9" i="6"/>
  <c r="U31" i="6" l="1"/>
  <c r="S59" i="6"/>
  <c r="S57" i="6"/>
  <c r="N55" i="6"/>
  <c r="S55" i="6"/>
</calcChain>
</file>

<file path=xl/sharedStrings.xml><?xml version="1.0" encoding="utf-8"?>
<sst xmlns="http://schemas.openxmlformats.org/spreadsheetml/2006/main" count="246" uniqueCount="87">
  <si>
    <t>CÔNG TY CP GẠCH MEN PHƯƠNG NAM</t>
  </si>
  <si>
    <t>BÁO CÁO</t>
  </si>
  <si>
    <t>STT</t>
  </si>
  <si>
    <t>TÊN LOẠI THAN</t>
  </si>
  <si>
    <t>Tồn đầu</t>
  </si>
  <si>
    <t>Dây chuyền</t>
  </si>
  <si>
    <t>Nhập T03</t>
  </si>
  <si>
    <t>Chất lượng lô than</t>
  </si>
  <si>
    <t xml:space="preserve">Tiêu hao </t>
  </si>
  <si>
    <t>Xuất cám (kg)</t>
  </si>
  <si>
    <t>Lĩnh bù</t>
  </si>
  <si>
    <t xml:space="preserve">Tiêu hao 
(cục+ cám+ lĩnh bù)
 kg/m2 </t>
  </si>
  <si>
    <t>Ghi chú</t>
  </si>
  <si>
    <t>Nhiệt trị</t>
  </si>
  <si>
    <t>Tỷ lệ % xít đá</t>
  </si>
  <si>
    <t>(kg)</t>
  </si>
  <si>
    <t>%</t>
  </si>
  <si>
    <t>SL</t>
  </si>
  <si>
    <t>% cám</t>
  </si>
  <si>
    <t>1. Kích thước 300*600</t>
  </si>
  <si>
    <t>KL lĩnh</t>
  </si>
  <si>
    <t xml:space="preserve">Tiêu hao 
(cục+ cám +lĩnh bù )
 kg/m2 </t>
  </si>
  <si>
    <r>
      <t>kg/m</t>
    </r>
    <r>
      <rPr>
        <b/>
        <vertAlign val="superscript"/>
        <sz val="14"/>
        <rFont val="Times New Roman"/>
        <family val="1"/>
      </rPr>
      <t>2</t>
    </r>
  </si>
  <si>
    <t xml:space="preserve">Ghi chú : </t>
  </si>
  <si>
    <t>P.TGĐ PT SX KTCN</t>
  </si>
  <si>
    <t>Nơi gửi:</t>
  </si>
  <si>
    <t>-</t>
  </si>
  <si>
    <t>PHÂN XƯỞNG CƠ ĐIỆN-NĂNG LƯỢNG</t>
  </si>
  <si>
    <t>P.TGĐ KH-TH</t>
  </si>
  <si>
    <t>P.KH-TH</t>
  </si>
  <si>
    <r>
      <t>Sản lượng m</t>
    </r>
    <r>
      <rPr>
        <b/>
        <vertAlign val="superscript"/>
        <sz val="14"/>
        <rFont val="Times New Roman"/>
        <family val="1"/>
      </rPr>
      <t>2</t>
    </r>
  </si>
  <si>
    <t>Tổng sử dụng (cục+cám+lĩnh bù)</t>
  </si>
  <si>
    <t xml:space="preserve">          QĐ.PXSX</t>
  </si>
  <si>
    <t xml:space="preserve">                   P.TGĐ PT</t>
  </si>
  <si>
    <t>CỘNG HÒA XÃ HỘI CHỦ NGHĨA VIỆT NAM</t>
  </si>
  <si>
    <t>Độc lập - Tự do - Hạnh phúc</t>
  </si>
  <si>
    <t xml:space="preserve">I. DÂY CHUYỀN 1: </t>
  </si>
  <si>
    <t xml:space="preserve">II. DÂY CHUYỀN 2: </t>
  </si>
  <si>
    <t>-
-
-</t>
  </si>
  <si>
    <t>P.TGĐ PT;</t>
  </si>
  <si>
    <t>TGĐ ;</t>
  </si>
  <si>
    <t>P.TGĐ KH-TH;</t>
  </si>
  <si>
    <t>P.KHTH;
P.KT;
Lưu PXCĐ-NL.</t>
  </si>
  <si>
    <r>
      <t>Tiêu hao (có cám) kg/m</t>
    </r>
    <r>
      <rPr>
        <b/>
        <vertAlign val="superscript"/>
        <sz val="14"/>
        <rFont val="Times New Roman"/>
        <family val="1"/>
      </rPr>
      <t>2</t>
    </r>
    <r>
      <rPr>
        <b/>
        <sz val="14"/>
        <rFont val="Times New Roman"/>
        <family val="1"/>
      </rPr>
      <t xml:space="preserve"> </t>
    </r>
  </si>
  <si>
    <t>- Chênh lệch 1,2 kg do làm tròn số</t>
  </si>
  <si>
    <t>Cộng</t>
  </si>
  <si>
    <t>Tỷ lệ % cám thực tế</t>
  </si>
  <si>
    <t>Tỷ lệ % cám tiêu chuẩn</t>
  </si>
  <si>
    <t xml:space="preserve">Tổng sử dụng (cục+cám+lĩnh bù) </t>
  </si>
  <si>
    <t>Cám vượt tiêu chuẩn (kg)</t>
  </si>
  <si>
    <t>Hải Thành kho 3+4 nhập ngày 25-26/06/2026</t>
  </si>
  <si>
    <t>1. Kích thước 500*500</t>
  </si>
  <si>
    <t>Hưng Tam Long kho 2 nhập ngày 09-11/07/2026</t>
  </si>
  <si>
    <t xml:space="preserve">           QĐ.PXCĐ-NL</t>
  </si>
  <si>
    <t xml:space="preserve">   PT.BP THK</t>
  </si>
  <si>
    <t>Đốt từ ngày 01-11/08/2026</t>
  </si>
  <si>
    <t>2. Kích thước 400*800</t>
  </si>
  <si>
    <t>III. TỔNG DÂY CHUYỀN 2 (500*500, 400*800)</t>
  </si>
  <si>
    <t>+ Từ ngày 01-11/08/2026 đốt than trộn Hưng Tam Long 30% + Hải Thành 70%. Than Hưng Tam Long nhập ngày 09-11/07/2026 (tổng nhập: 597.220 kg, cám phải trả nhà cung cấp khi đã tính ẩm là 8.600 kg, đã chốt lô, lĩnh bù: 4.913 kg), than Hải Thành nhập ngày 25-26/06/2026 (tổng nhập: 3.057.390 kg, chưa chốt lô, chưa tính tiêu hao)</t>
  </si>
  <si>
    <t>IV. TỔNG 2 DÂY CHUYỀN (300*600, 500*500, 400*800)</t>
  </si>
  <si>
    <t>Sấy lò không tính tiêu hao</t>
  </si>
  <si>
    <t>Đốt từ ngày 11-13/08/2026</t>
  </si>
  <si>
    <t>Đốt ngày 11/08/2026</t>
  </si>
  <si>
    <t>TỔNG SẤY LÒ</t>
  </si>
  <si>
    <t>TỔNG TIÊU HAO KHÔNG TÍNH SẤY LÒ</t>
  </si>
  <si>
    <t>TỔNG + SẤY LÒ</t>
  </si>
  <si>
    <t>Hưng Tam Long kho 1 nhập ngày 27-29/07/2026</t>
  </si>
  <si>
    <t>+ Xuất cám ngày 07/08/2026: 10.293 kg (đã quy ẩm)  (30% than Hưng Tam Long 09-11/07/2026)
                                                 24.018 kg (đã quy ẩm)  (70% than Hải Thành 25-26/06/2026)</t>
  </si>
  <si>
    <t>+ Xuất cám ngày 10/08/2026: 15.008 kg (đã quy ẩm)  (30% than Hưng Tam Long 09-11/07/2026)
                                                 35.020 kg (đã quy ẩm)  (70% than Hải Thành 25-26/06/2026)</t>
  </si>
  <si>
    <t>+ Xuất cám ngày 12/08/2026: 5.166 kg (đã quy ẩm)  (30% than Hưng Tam Long 09-11/07/2026)
                                                 12.054 kg (đã quy ẩm)  (70% than Hải Thành 25-26/06/2026)</t>
  </si>
  <si>
    <t>KẾT QUẢ SỬ DỤNG THAN TỪ NGÀY 01/08 ĐẾN 31/08/2026</t>
  </si>
  <si>
    <t>+ Xuất cám ngày 15/08/2026: 9.741 kg (đã quy ẩm)  (30% than Hưng Tam Long 27-29/07/2026)
                                                 22.729 kg (đã quy ẩm)  (70% than Hải Thành 25-26/06/2026)</t>
  </si>
  <si>
    <t>+ Xuất cám ngày 18/08/2026: 12.430 kg (đã quy ẩm)  (30% than Hưng Tam Long 27-29/07/2026)
                                                 29.002 kg (đã quy ẩm)  (70% than Hải Thành 25-26/06/2026)</t>
  </si>
  <si>
    <t>+ Xuất cám ngày 21/08/2026: 13.143 kg (đã quy ẩm)  (30% than Hưng Tam Long 27-29/07/2026)
                                                 30.668 kg (đã quy ẩm)  (70% than Hải Thành 25-26/06/2026)</t>
  </si>
  <si>
    <t>+ Xuất cám ngày 28/08/2026: 15.379 kg (đã quy ẩm)  (30% than Hưng Tam Long 27-29/07/2026)
                                                 35.883 kg (đã quy ẩm)  (70% than Hải Thành 11-12/08/2026)</t>
  </si>
  <si>
    <t>Đồng Nai, ngày 03 tháng 09 năm 2026</t>
  </si>
  <si>
    <t>+ Xuất cám ngày 31/08/2026: 7.643 kg (đã quy ẩm)  (30% than Hưng Tam Long 27-29/07/2026)
                                                 17.833 kg (đã quy ẩm)  (70% than Hải Thành 11-12/08/2026)</t>
  </si>
  <si>
    <t>- Tổng xuất than cám đến ngày 31/08/2026 là 296.010 kg, trong đó chia theo tỷ lệ các loại than như sau :</t>
  </si>
  <si>
    <t>+ Từ ngày 11-21/08/2026 đốt than trộn Hưng Tam Long 30% + Hải Thành 70%. Than Hưng Tam Long nhập ngày 27-29/07/2026 (tổng nhập: 867.720 kg, cám phải trả nhà cung cấp khi đã tính ẩm là 30.142 kg, chưa chốt lô, chưa lĩnh bù), than Hải Thành nhập ngày 25-26/06/2026 (tổng nhập: 3.057.390 kg, đã chốt lô, lĩnh bù: 17.608 kg)</t>
  </si>
  <si>
    <t>+ Từ ngày 21-31/08/2026 đốt than trộn Hưng Tam Long 30% + Hải Thành 70%. Than Hưng Tam Long nhập ngày 27-29/07/2026 (tổng nhập: 867.720 kg, cám phải trả nhà cung cấp khi đã tính ẩm là 30.142 kg, chưa chốt lô, chưa lĩnh bù), than Hải Thành nhập ngày 11-12/08/2026 (tổng nhập: 3.092.470 kg, chưa chốt lô, chưa tính tiêu hao)</t>
  </si>
  <si>
    <t>Hải Thành kho 3+4 nhập ngày 11-12/08/2026</t>
  </si>
  <si>
    <t>Đốt từ ngày 01-21/08/2026</t>
  </si>
  <si>
    <t>Đốt từ ngày 21-31/08/2026</t>
  </si>
  <si>
    <t>Đốt từ ngày 11-31/08/2026</t>
  </si>
  <si>
    <t>Đốt từ ngày 21/08/2026</t>
  </si>
  <si>
    <t xml:space="preserve">- Tổng khối lượng than cục sử dụng cho 2 dây chuyền từ ngày 01/08/2026 đến 31/08/2026 là 2.215.580 kg. Tổng khối lượng than cục sử dụng cho DC1 là 1.162.533 kg, tổng khối lượng than cục sử dụng cho DC2 là 1.053.047 kg </t>
  </si>
  <si>
    <t xml:space="preserve">- Tổng sản lượng thu hồi của 2 dây chuyền từ ngày 01-31/08/2026 là 929.391 m2, trong đó sản lượng của DC1 là 484.734 m2, sản lượng  DC2 là 444.657 m2.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</si>
</sst>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₫_-;\-* #,##0.00\ _₫_-;_-* &quot;-&quot;??\ _₫_-;_-@_-"/>
    <numFmt numFmtId="164" formatCode="_(* #,##0.00_);_(* \(#,##0.00\);_(* &quot;-&quot;??_);_(@_)"/>
    <numFmt numFmtId="165" formatCode="_(* #,##0_);_(* \(#,##0\);_(* &quot;-&quot;??_);_(@_)"/>
    <numFmt numFmtId="166" formatCode="_(* #,##0.000000_);_(* \(#,##0.000000\);_(* &quot;-&quot;??_);_(@_)"/>
    <numFmt numFmtId="167" formatCode="_(* #,##0.000_);_(* \(#,##0.000\);_(* &quot;-&quot;??_);_(@_)"/>
    <numFmt numFmtId="168" formatCode="_-* #,##0\ _₫_-;\-* #,##0\ _₫_-;_-* &quot;-&quot;??\ _₫_-;_-@_-"/>
    <numFmt numFmtId="169" formatCode="_-* #,##0.00000\ _₫_-;\-* #,##0.00000\ _₫_-;_-* &quot;-&quot;??\ _₫_-;_-@_-"/>
    <numFmt numFmtId="170" formatCode="_-* #,##0.00000\ _₫_-;\-* #,##0.00000\ _₫_-;_-* &quot;-&quot;?????\ _₫_-;_-@_-"/>
    <numFmt numFmtId="171" formatCode="_(* #,##0.0000_);_(* \(#,##0.0000\);_(* &quot;-&quot;??_);_(@_)"/>
    <numFmt numFmtId="172" formatCode="0.0"/>
    <numFmt numFmtId="173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i/>
      <sz val="16"/>
      <name val="Times New Roman"/>
      <family val="1"/>
    </font>
    <font>
      <sz val="17"/>
      <name val="Times New Roman"/>
      <family val="1"/>
    </font>
    <font>
      <b/>
      <sz val="2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i/>
      <sz val="16"/>
      <name val="Times New Roman"/>
      <family val="1"/>
    </font>
    <font>
      <i/>
      <sz val="10"/>
      <name val="Times New Roman"/>
      <family val="1"/>
    </font>
    <font>
      <b/>
      <i/>
      <sz val="20"/>
      <name val="Times New Roman"/>
      <family val="1"/>
    </font>
    <font>
      <sz val="20"/>
      <name val="Times New Roman"/>
      <family val="1"/>
    </font>
    <font>
      <i/>
      <sz val="20"/>
      <name val="Times New Roman"/>
      <family val="1"/>
    </font>
    <font>
      <sz val="14"/>
      <name val="Times New Roman"/>
      <family val="1"/>
      <charset val="163"/>
    </font>
    <font>
      <sz val="12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3">
    <xf numFmtId="0" fontId="0" fillId="0" borderId="0" xfId="0"/>
    <xf numFmtId="165" fontId="4" fillId="2" borderId="4" xfId="1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165" fontId="4" fillId="2" borderId="8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165" fontId="4" fillId="2" borderId="8" xfId="1" applyNumberFormat="1" applyFont="1" applyFill="1" applyBorder="1" applyAlignment="1">
      <alignment horizontal="center" vertical="center" wrapText="1"/>
    </xf>
    <xf numFmtId="165" fontId="4" fillId="2" borderId="4" xfId="0" applyNumberFormat="1" applyFont="1" applyFill="1" applyBorder="1" applyAlignment="1">
      <alignment horizontal="center" vertical="center"/>
    </xf>
    <xf numFmtId="0" fontId="6" fillId="2" borderId="0" xfId="0" applyFont="1" applyFill="1"/>
    <xf numFmtId="0" fontId="2" fillId="0" borderId="0" xfId="0" applyFont="1"/>
    <xf numFmtId="0" fontId="4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vertical="top"/>
    </xf>
    <xf numFmtId="166" fontId="2" fillId="0" borderId="0" xfId="1" applyNumberFormat="1" applyFont="1"/>
    <xf numFmtId="165" fontId="4" fillId="2" borderId="4" xfId="0" applyNumberFormat="1" applyFont="1" applyFill="1" applyBorder="1" applyAlignment="1">
      <alignment horizontal="center" vertical="center" wrapText="1"/>
    </xf>
    <xf numFmtId="43" fontId="7" fillId="2" borderId="0" xfId="0" applyNumberFormat="1" applyFont="1" applyFill="1"/>
    <xf numFmtId="165" fontId="4" fillId="2" borderId="4" xfId="1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right" vertical="center"/>
    </xf>
    <xf numFmtId="0" fontId="8" fillId="2" borderId="0" xfId="0" applyFont="1" applyFill="1"/>
    <xf numFmtId="165" fontId="8" fillId="2" borderId="0" xfId="0" applyNumberFormat="1" applyFont="1" applyFill="1"/>
    <xf numFmtId="165" fontId="9" fillId="2" borderId="0" xfId="0" applyNumberFormat="1" applyFont="1" applyFill="1"/>
    <xf numFmtId="0" fontId="10" fillId="2" borderId="0" xfId="0" applyFont="1" applyFill="1"/>
    <xf numFmtId="0" fontId="5" fillId="2" borderId="0" xfId="0" applyFont="1" applyFill="1"/>
    <xf numFmtId="0" fontId="9" fillId="2" borderId="0" xfId="0" applyFont="1" applyFill="1"/>
    <xf numFmtId="0" fontId="13" fillId="2" borderId="0" xfId="0" applyFont="1" applyFill="1"/>
    <xf numFmtId="165" fontId="2" fillId="2" borderId="0" xfId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0" fontId="14" fillId="0" borderId="0" xfId="0" applyFont="1"/>
    <xf numFmtId="165" fontId="2" fillId="0" borderId="11" xfId="0" applyNumberFormat="1" applyFont="1" applyBorder="1"/>
    <xf numFmtId="0" fontId="14" fillId="2" borderId="0" xfId="0" applyFont="1" applyFill="1"/>
    <xf numFmtId="0" fontId="15" fillId="2" borderId="18" xfId="0" applyFont="1" applyFill="1" applyBorder="1" applyAlignment="1">
      <alignment vertical="center"/>
    </xf>
    <xf numFmtId="164" fontId="4" fillId="2" borderId="8" xfId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164" fontId="2" fillId="2" borderId="20" xfId="0" applyNumberFormat="1" applyFont="1" applyFill="1" applyBorder="1"/>
    <xf numFmtId="0" fontId="2" fillId="2" borderId="20" xfId="0" applyFont="1" applyFill="1" applyBorder="1"/>
    <xf numFmtId="2" fontId="4" fillId="2" borderId="4" xfId="0" applyNumberFormat="1" applyFont="1" applyFill="1" applyBorder="1" applyAlignment="1">
      <alignment horizontal="right" vertical="center" wrapText="1"/>
    </xf>
    <xf numFmtId="164" fontId="4" fillId="2" borderId="4" xfId="1" applyFont="1" applyFill="1" applyBorder="1" applyAlignment="1">
      <alignment horizontal="center" vertical="center" wrapText="1"/>
    </xf>
    <xf numFmtId="164" fontId="4" fillId="2" borderId="4" xfId="1" applyFont="1" applyFill="1" applyBorder="1" applyAlignment="1">
      <alignment horizontal="right" vertical="center" wrapText="1"/>
    </xf>
    <xf numFmtId="0" fontId="11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quotePrefix="1" applyFont="1" applyFill="1"/>
    <xf numFmtId="0" fontId="9" fillId="2" borderId="0" xfId="0" applyFont="1" applyFill="1" applyAlignment="1">
      <alignment vertical="center"/>
    </xf>
    <xf numFmtId="0" fontId="16" fillId="2" borderId="0" xfId="0" applyFont="1" applyFill="1"/>
    <xf numFmtId="0" fontId="10" fillId="2" borderId="0" xfId="0" quotePrefix="1" applyFont="1" applyFill="1"/>
    <xf numFmtId="0" fontId="10" fillId="2" borderId="0" xfId="0" quotePrefix="1" applyFont="1" applyFill="1" applyAlignment="1">
      <alignment vertical="top" wrapText="1"/>
    </xf>
    <xf numFmtId="0" fontId="10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center"/>
    </xf>
    <xf numFmtId="0" fontId="10" fillId="2" borderId="0" xfId="0" quotePrefix="1" applyFont="1" applyFill="1" applyAlignment="1">
      <alignment vertical="top"/>
    </xf>
    <xf numFmtId="0" fontId="17" fillId="2" borderId="0" xfId="0" quotePrefix="1" applyFont="1" applyFill="1"/>
    <xf numFmtId="0" fontId="17" fillId="2" borderId="0" xfId="0" applyFont="1" applyFill="1"/>
    <xf numFmtId="0" fontId="17" fillId="2" borderId="0" xfId="0" quotePrefix="1" applyFont="1" applyFill="1" applyAlignment="1">
      <alignment vertical="top"/>
    </xf>
    <xf numFmtId="0" fontId="17" fillId="2" borderId="0" xfId="0" applyFont="1" applyFill="1" applyAlignment="1">
      <alignment vertical="top" wrapText="1"/>
    </xf>
    <xf numFmtId="0" fontId="18" fillId="2" borderId="0" xfId="0" applyFont="1" applyFill="1"/>
    <xf numFmtId="0" fontId="12" fillId="2" borderId="0" xfId="0" applyFont="1" applyFill="1"/>
    <xf numFmtId="164" fontId="19" fillId="2" borderId="0" xfId="1" applyFont="1" applyFill="1" applyBorder="1" applyAlignment="1">
      <alignment vertical="center"/>
    </xf>
    <xf numFmtId="0" fontId="19" fillId="2" borderId="0" xfId="0" applyFont="1" applyFill="1"/>
    <xf numFmtId="165" fontId="1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4" fillId="2" borderId="22" xfId="0" applyFont="1" applyFill="1" applyBorder="1" applyAlignment="1">
      <alignment vertical="center" wrapText="1"/>
    </xf>
    <xf numFmtId="165" fontId="4" fillId="2" borderId="4" xfId="1" applyNumberFormat="1" applyFont="1" applyFill="1" applyBorder="1" applyAlignment="1">
      <alignment vertical="center" wrapText="1"/>
    </xf>
    <xf numFmtId="165" fontId="4" fillId="2" borderId="4" xfId="0" applyNumberFormat="1" applyFont="1" applyFill="1" applyBorder="1" applyAlignment="1">
      <alignment vertical="center" wrapText="1"/>
    </xf>
    <xf numFmtId="164" fontId="4" fillId="2" borderId="4" xfId="1" applyFont="1" applyFill="1" applyBorder="1" applyAlignment="1">
      <alignment vertical="center" wrapText="1"/>
    </xf>
    <xf numFmtId="2" fontId="4" fillId="2" borderId="4" xfId="0" applyNumberFormat="1" applyFont="1" applyFill="1" applyBorder="1" applyAlignment="1">
      <alignment vertical="center" wrapText="1"/>
    </xf>
    <xf numFmtId="165" fontId="4" fillId="2" borderId="21" xfId="1" applyNumberFormat="1" applyFont="1" applyFill="1" applyBorder="1" applyAlignment="1">
      <alignment vertical="center" wrapText="1"/>
    </xf>
    <xf numFmtId="0" fontId="4" fillId="2" borderId="4" xfId="1" applyNumberFormat="1" applyFont="1" applyFill="1" applyBorder="1" applyAlignment="1">
      <alignment vertical="center"/>
    </xf>
    <xf numFmtId="165" fontId="4" fillId="2" borderId="8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4" fillId="2" borderId="4" xfId="1" applyNumberFormat="1" applyFont="1" applyFill="1" applyBorder="1" applyAlignment="1">
      <alignment horizontal="right" vertical="center" wrapText="1"/>
    </xf>
    <xf numFmtId="0" fontId="2" fillId="3" borderId="2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5" fontId="4" fillId="2" borderId="5" xfId="1" applyNumberFormat="1" applyFont="1" applyFill="1" applyBorder="1" applyAlignment="1">
      <alignment horizontal="center" vertical="center"/>
    </xf>
    <xf numFmtId="165" fontId="4" fillId="2" borderId="5" xfId="1" applyNumberFormat="1" applyFont="1" applyFill="1" applyBorder="1" applyAlignment="1">
      <alignment horizontal="right" vertical="center" wrapText="1"/>
    </xf>
    <xf numFmtId="164" fontId="4" fillId="2" borderId="5" xfId="1" applyFont="1" applyFill="1" applyBorder="1" applyAlignment="1">
      <alignment vertical="center" wrapText="1"/>
    </xf>
    <xf numFmtId="165" fontId="4" fillId="2" borderId="26" xfId="1" applyNumberFormat="1" applyFont="1" applyFill="1" applyBorder="1" applyAlignment="1">
      <alignment vertical="center" wrapText="1"/>
    </xf>
    <xf numFmtId="165" fontId="21" fillId="2" borderId="4" xfId="1" applyNumberFormat="1" applyFont="1" applyFill="1" applyBorder="1" applyAlignment="1">
      <alignment horizontal="center" vertical="center" wrapText="1"/>
    </xf>
    <xf numFmtId="164" fontId="22" fillId="2" borderId="4" xfId="1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vertical="center" wrapText="1"/>
    </xf>
    <xf numFmtId="164" fontId="4" fillId="2" borderId="8" xfId="1" applyFont="1" applyFill="1" applyBorder="1" applyAlignment="1">
      <alignment horizontal="center" vertical="center" wrapText="1"/>
    </xf>
    <xf numFmtId="165" fontId="4" fillId="2" borderId="8" xfId="0" applyNumberFormat="1" applyFont="1" applyFill="1" applyBorder="1" applyAlignment="1">
      <alignment horizontal="center" vertical="center" wrapText="1"/>
    </xf>
    <xf numFmtId="2" fontId="23" fillId="3" borderId="4" xfId="0" applyNumberFormat="1" applyFont="1" applyFill="1" applyBorder="1" applyAlignment="1">
      <alignment horizontal="right" vertical="center"/>
    </xf>
    <xf numFmtId="165" fontId="23" fillId="3" borderId="5" xfId="1" applyNumberFormat="1" applyFont="1" applyFill="1" applyBorder="1" applyAlignment="1">
      <alignment horizontal="center" vertical="center"/>
    </xf>
    <xf numFmtId="164" fontId="23" fillId="3" borderId="4" xfId="0" applyNumberFormat="1" applyFont="1" applyFill="1" applyBorder="1" applyAlignment="1">
      <alignment horizontal="center" vertical="center"/>
    </xf>
    <xf numFmtId="165" fontId="23" fillId="3" borderId="5" xfId="1" applyNumberFormat="1" applyFont="1" applyFill="1" applyBorder="1" applyAlignment="1">
      <alignment vertical="center" wrapText="1"/>
    </xf>
    <xf numFmtId="165" fontId="23" fillId="3" borderId="5" xfId="1" applyNumberFormat="1" applyFont="1" applyFill="1" applyBorder="1" applyAlignment="1">
      <alignment horizontal="center" vertical="center" wrapText="1"/>
    </xf>
    <xf numFmtId="164" fontId="23" fillId="3" borderId="4" xfId="1" applyFont="1" applyFill="1" applyBorder="1" applyAlignment="1">
      <alignment horizontal="center" vertical="center" wrapText="1"/>
    </xf>
    <xf numFmtId="164" fontId="24" fillId="3" borderId="4" xfId="1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vertical="center" wrapText="1"/>
    </xf>
    <xf numFmtId="0" fontId="2" fillId="2" borderId="0" xfId="0" applyFont="1" applyFill="1" applyBorder="1"/>
    <xf numFmtId="165" fontId="4" fillId="2" borderId="21" xfId="0" applyNumberFormat="1" applyFont="1" applyFill="1" applyBorder="1" applyAlignment="1">
      <alignment vertical="center" wrapText="1"/>
    </xf>
    <xf numFmtId="165" fontId="23" fillId="3" borderId="21" xfId="1" applyNumberFormat="1" applyFont="1" applyFill="1" applyBorder="1" applyAlignment="1">
      <alignment vertical="center" wrapText="1"/>
    </xf>
    <xf numFmtId="165" fontId="23" fillId="3" borderId="21" xfId="0" applyNumberFormat="1" applyFont="1" applyFill="1" applyBorder="1" applyAlignment="1">
      <alignment vertical="center" wrapText="1"/>
    </xf>
    <xf numFmtId="165" fontId="2" fillId="2" borderId="4" xfId="1" applyNumberFormat="1" applyFont="1" applyFill="1" applyBorder="1" applyAlignment="1">
      <alignment horizontal="center" vertical="center"/>
    </xf>
    <xf numFmtId="172" fontId="4" fillId="2" borderId="4" xfId="1" applyNumberFormat="1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165" fontId="2" fillId="2" borderId="18" xfId="1" applyNumberFormat="1" applyFont="1" applyFill="1" applyBorder="1" applyAlignment="1">
      <alignment horizontal="center" vertical="center"/>
    </xf>
    <xf numFmtId="165" fontId="4" fillId="2" borderId="18" xfId="1" applyNumberFormat="1" applyFont="1" applyFill="1" applyBorder="1" applyAlignment="1">
      <alignment horizontal="center" vertical="center"/>
    </xf>
    <xf numFmtId="165" fontId="4" fillId="2" borderId="5" xfId="1" applyNumberFormat="1" applyFont="1" applyFill="1" applyBorder="1" applyAlignment="1">
      <alignment vertical="center" wrapText="1"/>
    </xf>
    <xf numFmtId="172" fontId="4" fillId="2" borderId="27" xfId="1" applyNumberFormat="1" applyFont="1" applyFill="1" applyBorder="1" applyAlignment="1">
      <alignment vertical="center"/>
    </xf>
    <xf numFmtId="165" fontId="4" fillId="2" borderId="10" xfId="1" applyNumberFormat="1" applyFont="1" applyFill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165" fontId="4" fillId="2" borderId="8" xfId="0" applyNumberFormat="1" applyFont="1" applyFill="1" applyBorder="1" applyAlignment="1">
      <alignment vertical="center" wrapText="1"/>
    </xf>
    <xf numFmtId="165" fontId="4" fillId="2" borderId="8" xfId="1" applyNumberFormat="1" applyFont="1" applyFill="1" applyBorder="1" applyAlignment="1">
      <alignment vertical="center" wrapText="1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21" xfId="1" applyNumberFormat="1" applyFont="1" applyFill="1" applyBorder="1" applyAlignment="1">
      <alignment vertical="center" wrapText="1"/>
    </xf>
    <xf numFmtId="165" fontId="4" fillId="3" borderId="29" xfId="1" applyNumberFormat="1" applyFont="1" applyFill="1" applyBorder="1" applyAlignment="1">
      <alignment horizontal="center" vertical="center" wrapText="1"/>
    </xf>
    <xf numFmtId="165" fontId="4" fillId="3" borderId="27" xfId="1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165" fontId="4" fillId="2" borderId="10" xfId="1" applyNumberFormat="1" applyFont="1" applyFill="1" applyBorder="1" applyAlignment="1">
      <alignment horizontal="right" vertical="center" wrapText="1"/>
    </xf>
    <xf numFmtId="164" fontId="4" fillId="2" borderId="10" xfId="1" applyFont="1" applyFill="1" applyBorder="1" applyAlignment="1">
      <alignment vertical="center" wrapText="1"/>
    </xf>
    <xf numFmtId="165" fontId="4" fillId="2" borderId="33" xfId="1" applyNumberFormat="1" applyFont="1" applyFill="1" applyBorder="1" applyAlignment="1">
      <alignment vertical="center" wrapText="1"/>
    </xf>
    <xf numFmtId="165" fontId="4" fillId="3" borderId="4" xfId="1" applyNumberFormat="1" applyFont="1" applyFill="1" applyBorder="1" applyAlignment="1">
      <alignment horizontal="center" vertical="center"/>
    </xf>
    <xf numFmtId="164" fontId="4" fillId="3" borderId="4" xfId="1" applyFont="1" applyFill="1" applyBorder="1" applyAlignment="1">
      <alignment vertical="center" wrapText="1"/>
    </xf>
    <xf numFmtId="165" fontId="4" fillId="3" borderId="4" xfId="1" applyNumberFormat="1" applyFont="1" applyFill="1" applyBorder="1" applyAlignment="1">
      <alignment vertical="center" wrapText="1"/>
    </xf>
    <xf numFmtId="165" fontId="21" fillId="2" borderId="5" xfId="1" applyNumberFormat="1" applyFont="1" applyFill="1" applyBorder="1" applyAlignment="1">
      <alignment horizontal="center" vertical="center"/>
    </xf>
    <xf numFmtId="164" fontId="21" fillId="2" borderId="5" xfId="0" applyNumberFormat="1" applyFont="1" applyFill="1" applyBorder="1" applyAlignment="1">
      <alignment horizontal="center" vertical="center"/>
    </xf>
    <xf numFmtId="165" fontId="21" fillId="2" borderId="5" xfId="1" applyNumberFormat="1" applyFont="1" applyFill="1" applyBorder="1" applyAlignment="1">
      <alignment vertical="center" wrapText="1"/>
    </xf>
    <xf numFmtId="165" fontId="21" fillId="2" borderId="26" xfId="1" applyNumberFormat="1" applyFont="1" applyFill="1" applyBorder="1" applyAlignment="1">
      <alignment vertical="center" wrapText="1"/>
    </xf>
    <xf numFmtId="165" fontId="21" fillId="2" borderId="5" xfId="1" applyNumberFormat="1" applyFont="1" applyFill="1" applyBorder="1" applyAlignment="1">
      <alignment horizontal="center" vertical="center" wrapText="1"/>
    </xf>
    <xf numFmtId="2" fontId="21" fillId="2" borderId="5" xfId="0" applyNumberFormat="1" applyFont="1" applyFill="1" applyBorder="1" applyAlignment="1">
      <alignment horizontal="right" vertical="center"/>
    </xf>
    <xf numFmtId="164" fontId="21" fillId="2" borderId="5" xfId="1" applyFont="1" applyFill="1" applyBorder="1" applyAlignment="1">
      <alignment horizontal="center" vertical="center" wrapText="1"/>
    </xf>
    <xf numFmtId="164" fontId="22" fillId="2" borderId="5" xfId="1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vertical="center" wrapText="1"/>
    </xf>
    <xf numFmtId="165" fontId="23" fillId="3" borderId="4" xfId="1" applyNumberFormat="1" applyFont="1" applyFill="1" applyBorder="1" applyAlignment="1">
      <alignment horizontal="center" vertical="center"/>
    </xf>
    <xf numFmtId="165" fontId="23" fillId="3" borderId="4" xfId="1" applyNumberFormat="1" applyFont="1" applyFill="1" applyBorder="1" applyAlignment="1">
      <alignment vertical="center" wrapText="1"/>
    </xf>
    <xf numFmtId="165" fontId="23" fillId="3" borderId="4" xfId="1" applyNumberFormat="1" applyFont="1" applyFill="1" applyBorder="1" applyAlignment="1">
      <alignment horizontal="center" vertical="center" wrapText="1"/>
    </xf>
    <xf numFmtId="165" fontId="4" fillId="3" borderId="21" xfId="1" applyNumberFormat="1" applyFont="1" applyFill="1" applyBorder="1" applyAlignment="1">
      <alignment horizontal="center" vertical="center" wrapText="1"/>
    </xf>
    <xf numFmtId="164" fontId="23" fillId="3" borderId="4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2" fontId="4" fillId="3" borderId="4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/>
    <xf numFmtId="0" fontId="2" fillId="2" borderId="0" xfId="0" applyFont="1" applyFill="1" applyBorder="1" applyAlignment="1">
      <alignment vertical="center"/>
    </xf>
    <xf numFmtId="165" fontId="2" fillId="2" borderId="0" xfId="0" applyNumberFormat="1" applyFont="1" applyFill="1" applyBorder="1"/>
    <xf numFmtId="0" fontId="4" fillId="3" borderId="6" xfId="0" applyFont="1" applyFill="1" applyBorder="1" applyAlignment="1">
      <alignment vertical="center" wrapText="1"/>
    </xf>
    <xf numFmtId="165" fontId="21" fillId="2" borderId="38" xfId="1" applyNumberFormat="1" applyFont="1" applyFill="1" applyBorder="1" applyAlignment="1">
      <alignment horizontal="center" vertical="center"/>
    </xf>
    <xf numFmtId="2" fontId="4" fillId="2" borderId="37" xfId="0" applyNumberFormat="1" applyFont="1" applyFill="1" applyBorder="1" applyAlignment="1">
      <alignment horizontal="right" vertical="center"/>
    </xf>
    <xf numFmtId="165" fontId="21" fillId="2" borderId="38" xfId="1" applyNumberFormat="1" applyFont="1" applyFill="1" applyBorder="1" applyAlignment="1">
      <alignment vertical="center" wrapText="1"/>
    </xf>
    <xf numFmtId="165" fontId="21" fillId="2" borderId="38" xfId="1" applyNumberFormat="1" applyFont="1" applyFill="1" applyBorder="1" applyAlignment="1">
      <alignment horizontal="center" vertical="center" wrapText="1"/>
    </xf>
    <xf numFmtId="2" fontId="21" fillId="2" borderId="38" xfId="0" applyNumberFormat="1" applyFont="1" applyFill="1" applyBorder="1" applyAlignment="1">
      <alignment horizontal="right" vertical="center"/>
    </xf>
    <xf numFmtId="164" fontId="21" fillId="2" borderId="38" xfId="1" applyFont="1" applyFill="1" applyBorder="1" applyAlignment="1">
      <alignment horizontal="center" vertical="center" wrapText="1"/>
    </xf>
    <xf numFmtId="164" fontId="22" fillId="2" borderId="38" xfId="1" applyFont="1" applyFill="1" applyBorder="1" applyAlignment="1">
      <alignment horizontal="center" vertical="center" wrapText="1"/>
    </xf>
    <xf numFmtId="0" fontId="21" fillId="2" borderId="3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3" fontId="4" fillId="2" borderId="4" xfId="1" applyNumberFormat="1" applyFont="1" applyFill="1" applyBorder="1" applyAlignment="1">
      <alignment horizontal="right" vertical="center"/>
    </xf>
    <xf numFmtId="0" fontId="4" fillId="2" borderId="4" xfId="1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 wrapText="1"/>
    </xf>
    <xf numFmtId="165" fontId="4" fillId="2" borderId="21" xfId="1" applyNumberFormat="1" applyFont="1" applyFill="1" applyBorder="1" applyAlignment="1">
      <alignment horizontal="center" vertical="center" wrapText="1"/>
    </xf>
    <xf numFmtId="3" fontId="4" fillId="2" borderId="5" xfId="1" applyNumberFormat="1" applyFont="1" applyFill="1" applyBorder="1" applyAlignment="1">
      <alignment horizontal="right" vertical="center"/>
    </xf>
    <xf numFmtId="0" fontId="4" fillId="2" borderId="5" xfId="1" applyNumberFormat="1" applyFont="1" applyFill="1" applyBorder="1" applyAlignment="1">
      <alignment horizontal="right" vertical="center"/>
    </xf>
    <xf numFmtId="0" fontId="19" fillId="2" borderId="0" xfId="0" quotePrefix="1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4" fillId="2" borderId="7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165" fontId="21" fillId="2" borderId="4" xfId="1" applyNumberFormat="1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vertical="center" wrapText="1"/>
    </xf>
    <xf numFmtId="165" fontId="4" fillId="3" borderId="8" xfId="1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4" fillId="3" borderId="8" xfId="1" applyFont="1" applyFill="1" applyBorder="1" applyAlignment="1">
      <alignment vertical="center"/>
    </xf>
    <xf numFmtId="165" fontId="4" fillId="3" borderId="21" xfId="0" applyNumberFormat="1" applyFont="1" applyFill="1" applyBorder="1" applyAlignment="1">
      <alignment vertical="center" wrapText="1"/>
    </xf>
    <xf numFmtId="0" fontId="4" fillId="3" borderId="22" xfId="0" applyFont="1" applyFill="1" applyBorder="1" applyAlignment="1">
      <alignment vertical="center" wrapText="1"/>
    </xf>
    <xf numFmtId="165" fontId="23" fillId="3" borderId="8" xfId="1" applyNumberFormat="1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164" fontId="23" fillId="3" borderId="8" xfId="1" applyFont="1" applyFill="1" applyBorder="1" applyAlignment="1">
      <alignment vertical="center"/>
    </xf>
    <xf numFmtId="0" fontId="23" fillId="3" borderId="22" xfId="0" applyFont="1" applyFill="1" applyBorder="1" applyAlignment="1">
      <alignment vertical="center" wrapText="1"/>
    </xf>
    <xf numFmtId="164" fontId="4" fillId="2" borderId="4" xfId="1" applyFont="1" applyFill="1" applyBorder="1" applyAlignment="1">
      <alignment vertical="center"/>
    </xf>
    <xf numFmtId="165" fontId="23" fillId="3" borderId="4" xfId="0" applyNumberFormat="1" applyFont="1" applyFill="1" applyBorder="1" applyAlignment="1">
      <alignment vertical="center" wrapText="1"/>
    </xf>
    <xf numFmtId="164" fontId="4" fillId="2" borderId="4" xfId="1" applyNumberFormat="1" applyFont="1" applyFill="1" applyBorder="1" applyAlignment="1">
      <alignment horizontal="center" vertical="center" wrapText="1"/>
    </xf>
    <xf numFmtId="165" fontId="4" fillId="3" borderId="4" xfId="1" applyNumberFormat="1" applyFont="1" applyFill="1" applyBorder="1" applyAlignment="1">
      <alignment horizontal="center" vertical="center" wrapText="1"/>
    </xf>
    <xf numFmtId="165" fontId="21" fillId="2" borderId="4" xfId="0" applyNumberFormat="1" applyFont="1" applyFill="1" applyBorder="1" applyAlignment="1">
      <alignment horizontal="center" vertical="center"/>
    </xf>
    <xf numFmtId="165" fontId="21" fillId="2" borderId="4" xfId="1" applyNumberFormat="1" applyFont="1" applyFill="1" applyBorder="1" applyAlignment="1">
      <alignment vertical="center"/>
    </xf>
    <xf numFmtId="165" fontId="21" fillId="2" borderId="21" xfId="1" applyNumberFormat="1" applyFont="1" applyFill="1" applyBorder="1" applyAlignment="1">
      <alignment vertical="center"/>
    </xf>
    <xf numFmtId="165" fontId="21" fillId="2" borderId="4" xfId="0" applyNumberFormat="1" applyFont="1" applyFill="1" applyBorder="1" applyAlignment="1">
      <alignment vertical="center" wrapText="1"/>
    </xf>
    <xf numFmtId="2" fontId="21" fillId="2" borderId="4" xfId="0" applyNumberFormat="1" applyFont="1" applyFill="1" applyBorder="1" applyAlignment="1">
      <alignment vertical="center" wrapText="1"/>
    </xf>
    <xf numFmtId="164" fontId="21" fillId="2" borderId="4" xfId="1" applyFont="1" applyFill="1" applyBorder="1" applyAlignment="1">
      <alignment vertical="center" wrapText="1"/>
    </xf>
    <xf numFmtId="165" fontId="7" fillId="2" borderId="0" xfId="1" applyNumberFormat="1" applyFont="1" applyFill="1"/>
    <xf numFmtId="165" fontId="13" fillId="2" borderId="0" xfId="0" applyNumberFormat="1" applyFont="1" applyFill="1"/>
    <xf numFmtId="165" fontId="13" fillId="2" borderId="0" xfId="1" applyNumberFormat="1" applyFont="1" applyFill="1"/>
    <xf numFmtId="164" fontId="13" fillId="2" borderId="0" xfId="0" applyNumberFormat="1" applyFont="1" applyFill="1"/>
    <xf numFmtId="165" fontId="15" fillId="2" borderId="0" xfId="0" applyNumberFormat="1" applyFont="1" applyFill="1"/>
    <xf numFmtId="165" fontId="15" fillId="2" borderId="0" xfId="1" applyNumberFormat="1" applyFont="1" applyFill="1"/>
    <xf numFmtId="165" fontId="15" fillId="2" borderId="0" xfId="1" applyNumberFormat="1" applyFont="1" applyFill="1" applyAlignment="1">
      <alignment horizontal="center"/>
    </xf>
    <xf numFmtId="1" fontId="14" fillId="2" borderId="0" xfId="0" applyNumberFormat="1" applyFont="1" applyFill="1"/>
    <xf numFmtId="1" fontId="15" fillId="2" borderId="0" xfId="1" applyNumberFormat="1" applyFont="1" applyFill="1" applyAlignment="1">
      <alignment horizontal="right"/>
    </xf>
    <xf numFmtId="165" fontId="14" fillId="2" borderId="0" xfId="1" applyNumberFormat="1" applyFont="1" applyFill="1"/>
    <xf numFmtId="165" fontId="14" fillId="2" borderId="0" xfId="0" applyNumberFormat="1" applyFont="1" applyFill="1"/>
    <xf numFmtId="165" fontId="15" fillId="2" borderId="0" xfId="1" applyNumberFormat="1" applyFont="1" applyFill="1" applyAlignment="1">
      <alignment horizontal="right"/>
    </xf>
    <xf numFmtId="1" fontId="15" fillId="2" borderId="0" xfId="1" applyNumberFormat="1" applyFont="1" applyFill="1"/>
    <xf numFmtId="164" fontId="15" fillId="2" borderId="0" xfId="0" applyNumberFormat="1" applyFont="1" applyFill="1" applyAlignment="1">
      <alignment horizontal="center" vertical="center"/>
    </xf>
    <xf numFmtId="165" fontId="15" fillId="2" borderId="0" xfId="1" applyNumberFormat="1" applyFont="1" applyFill="1" applyAlignment="1">
      <alignment horizontal="center" vertical="center"/>
    </xf>
    <xf numFmtId="1" fontId="15" fillId="2" borderId="0" xfId="0" applyNumberFormat="1" applyFont="1" applyFill="1" applyAlignment="1">
      <alignment vertical="center"/>
    </xf>
    <xf numFmtId="168" fontId="15" fillId="2" borderId="0" xfId="0" applyNumberFormat="1" applyFont="1" applyFill="1" applyAlignment="1">
      <alignment vertical="center"/>
    </xf>
    <xf numFmtId="0" fontId="15" fillId="2" borderId="0" xfId="0" applyFont="1" applyFill="1"/>
    <xf numFmtId="165" fontId="15" fillId="2" borderId="0" xfId="1" applyNumberFormat="1" applyFont="1" applyFill="1" applyBorder="1"/>
    <xf numFmtId="167" fontId="15" fillId="2" borderId="0" xfId="0" applyNumberFormat="1" applyFont="1" applyFill="1"/>
    <xf numFmtId="165" fontId="15" fillId="2" borderId="0" xfId="0" applyNumberFormat="1" applyFont="1" applyFill="1" applyAlignment="1">
      <alignment horizontal="right"/>
    </xf>
    <xf numFmtId="0" fontId="15" fillId="2" borderId="0" xfId="1" applyNumberFormat="1" applyFont="1" applyFill="1"/>
    <xf numFmtId="168" fontId="14" fillId="2" borderId="0" xfId="0" applyNumberFormat="1" applyFont="1" applyFill="1"/>
    <xf numFmtId="173" fontId="15" fillId="2" borderId="0" xfId="0" applyNumberFormat="1" applyFont="1" applyFill="1" applyAlignment="1">
      <alignment horizontal="right"/>
    </xf>
    <xf numFmtId="168" fontId="15" fillId="2" borderId="0" xfId="1" applyNumberFormat="1" applyFont="1" applyFill="1"/>
    <xf numFmtId="169" fontId="15" fillId="2" borderId="0" xfId="0" applyNumberFormat="1" applyFont="1" applyFill="1"/>
    <xf numFmtId="170" fontId="15" fillId="2" borderId="0" xfId="0" applyNumberFormat="1" applyFont="1" applyFill="1"/>
    <xf numFmtId="164" fontId="15" fillId="2" borderId="0" xfId="0" applyNumberFormat="1" applyFont="1" applyFill="1"/>
    <xf numFmtId="171" fontId="13" fillId="2" borderId="0" xfId="1" applyNumberFormat="1" applyFont="1" applyFill="1"/>
    <xf numFmtId="164" fontId="11" fillId="2" borderId="0" xfId="1" applyFont="1" applyFill="1"/>
    <xf numFmtId="165" fontId="11" fillId="2" borderId="0" xfId="1" applyNumberFormat="1" applyFont="1" applyFill="1"/>
    <xf numFmtId="167" fontId="13" fillId="2" borderId="0" xfId="1" applyNumberFormat="1" applyFont="1" applyFill="1"/>
    <xf numFmtId="0" fontId="13" fillId="2" borderId="0" xfId="0" applyFont="1" applyFill="1" applyBorder="1"/>
    <xf numFmtId="165" fontId="13" fillId="2" borderId="0" xfId="1" applyNumberFormat="1" applyFont="1" applyFill="1" applyBorder="1"/>
    <xf numFmtId="165" fontId="8" fillId="2" borderId="0" xfId="1" applyNumberFormat="1" applyFont="1" applyFill="1"/>
    <xf numFmtId="165" fontId="4" fillId="2" borderId="0" xfId="1" applyNumberFormat="1" applyFont="1" applyFill="1"/>
    <xf numFmtId="165" fontId="7" fillId="2" borderId="0" xfId="1" applyNumberFormat="1" applyFont="1" applyFill="1" applyAlignment="1">
      <alignment vertical="top"/>
    </xf>
    <xf numFmtId="172" fontId="15" fillId="2" borderId="0" xfId="0" applyNumberFormat="1" applyFont="1" applyFill="1"/>
    <xf numFmtId="172" fontId="15" fillId="2" borderId="0" xfId="0" applyNumberFormat="1" applyFont="1" applyFill="1" applyAlignment="1">
      <alignment horizontal="right"/>
    </xf>
    <xf numFmtId="172" fontId="15" fillId="2" borderId="0" xfId="1" applyNumberFormat="1" applyFont="1" applyFill="1" applyAlignment="1">
      <alignment horizontal="right"/>
    </xf>
    <xf numFmtId="171" fontId="15" fillId="2" borderId="0" xfId="0" applyNumberFormat="1" applyFont="1" applyFill="1"/>
    <xf numFmtId="165" fontId="4" fillId="2" borderId="37" xfId="1" applyNumberFormat="1" applyFont="1" applyFill="1" applyBorder="1" applyAlignment="1">
      <alignment horizontal="center" vertical="center" wrapText="1"/>
    </xf>
    <xf numFmtId="165" fontId="4" fillId="2" borderId="21" xfId="1" applyNumberFormat="1" applyFont="1" applyFill="1" applyBorder="1" applyAlignment="1">
      <alignment horizontal="center" vertical="center" wrapText="1"/>
    </xf>
    <xf numFmtId="165" fontId="4" fillId="2" borderId="29" xfId="1" applyNumberFormat="1" applyFont="1" applyFill="1" applyBorder="1" applyAlignment="1">
      <alignment horizontal="center" vertical="center" wrapText="1"/>
    </xf>
    <xf numFmtId="165" fontId="4" fillId="2" borderId="27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>
      <alignment horizontal="center" vertical="center"/>
    </xf>
    <xf numFmtId="3" fontId="4" fillId="2" borderId="5" xfId="1" applyNumberFormat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0" fontId="4" fillId="2" borderId="5" xfId="1" applyNumberFormat="1" applyFont="1" applyFill="1" applyBorder="1" applyAlignment="1">
      <alignment horizontal="center" vertical="center"/>
    </xf>
    <xf numFmtId="172" fontId="4" fillId="2" borderId="8" xfId="1" applyNumberFormat="1" applyFont="1" applyFill="1" applyBorder="1" applyAlignment="1">
      <alignment horizontal="center" vertical="center"/>
    </xf>
    <xf numFmtId="172" fontId="4" fillId="2" borderId="5" xfId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2" fontId="4" fillId="2" borderId="4" xfId="1" applyNumberFormat="1" applyFont="1" applyFill="1" applyBorder="1" applyAlignment="1">
      <alignment horizontal="right" vertical="center"/>
    </xf>
    <xf numFmtId="0" fontId="4" fillId="2" borderId="4" xfId="1" applyNumberFormat="1" applyFont="1" applyFill="1" applyBorder="1" applyAlignment="1">
      <alignment horizontal="right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3" fontId="4" fillId="2" borderId="4" xfId="1" applyNumberFormat="1" applyFont="1" applyFill="1" applyBorder="1" applyAlignment="1">
      <alignment horizontal="right" vertical="center"/>
    </xf>
    <xf numFmtId="0" fontId="4" fillId="2" borderId="8" xfId="1" applyNumberFormat="1" applyFont="1" applyFill="1" applyBorder="1" applyAlignment="1">
      <alignment horizontal="right" vertical="center"/>
    </xf>
    <xf numFmtId="0" fontId="4" fillId="2" borderId="5" xfId="1" applyNumberFormat="1" applyFont="1" applyFill="1" applyBorder="1" applyAlignment="1">
      <alignment horizontal="right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172" fontId="4" fillId="2" borderId="8" xfId="1" applyNumberFormat="1" applyFont="1" applyFill="1" applyBorder="1" applyAlignment="1">
      <alignment horizontal="right" vertical="center"/>
    </xf>
    <xf numFmtId="172" fontId="4" fillId="2" borderId="5" xfId="1" applyNumberFormat="1" applyFont="1" applyFill="1" applyBorder="1" applyAlignment="1">
      <alignment horizontal="right" vertical="center"/>
    </xf>
    <xf numFmtId="3" fontId="4" fillId="2" borderId="8" xfId="1" applyNumberFormat="1" applyFont="1" applyFill="1" applyBorder="1" applyAlignment="1">
      <alignment horizontal="right" vertical="center"/>
    </xf>
    <xf numFmtId="3" fontId="4" fillId="2" borderId="5" xfId="1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>
      <alignment horizontal="right" vertical="center"/>
    </xf>
    <xf numFmtId="0" fontId="4" fillId="2" borderId="10" xfId="1" applyNumberFormat="1" applyFont="1" applyFill="1" applyBorder="1" applyAlignment="1">
      <alignment horizontal="right" vertical="center"/>
    </xf>
    <xf numFmtId="172" fontId="4" fillId="2" borderId="10" xfId="1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19" fillId="2" borderId="0" xfId="0" quotePrefix="1" applyFont="1" applyFill="1" applyAlignment="1">
      <alignment horizontal="lef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19" fillId="2" borderId="0" xfId="0" quotePrefix="1" applyFont="1" applyFill="1" applyAlignment="1">
      <alignment horizontal="left" vertical="center" wrapText="1"/>
    </xf>
    <xf numFmtId="0" fontId="20" fillId="2" borderId="0" xfId="0" applyFont="1" applyFill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165" fontId="4" fillId="2" borderId="33" xfId="1" applyNumberFormat="1" applyFont="1" applyFill="1" applyBorder="1" applyAlignment="1">
      <alignment horizontal="center" vertical="center" wrapText="1"/>
    </xf>
    <xf numFmtId="165" fontId="4" fillId="2" borderId="34" xfId="1" applyNumberFormat="1" applyFont="1" applyFill="1" applyBorder="1" applyAlignment="1">
      <alignment horizontal="center" vertical="center" wrapText="1"/>
    </xf>
    <xf numFmtId="165" fontId="4" fillId="2" borderId="35" xfId="1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46"/>
  <sheetViews>
    <sheetView tabSelected="1" topLeftCell="A70" zoomScale="55" zoomScaleNormal="55" workbookViewId="0">
      <selection activeCell="O51" sqref="O51"/>
    </sheetView>
  </sheetViews>
  <sheetFormatPr defaultColWidth="9.109375" defaultRowHeight="13.8" x14ac:dyDescent="0.25"/>
  <cols>
    <col min="1" max="1" width="1.6640625" style="11" customWidth="1"/>
    <col min="2" max="2" width="6.88671875" style="11" customWidth="1"/>
    <col min="3" max="3" width="55" style="11" customWidth="1"/>
    <col min="4" max="5" width="13.109375" style="11" hidden="1" customWidth="1"/>
    <col min="6" max="6" width="10.5546875" style="11" hidden="1" customWidth="1"/>
    <col min="7" max="7" width="11.44140625" style="11" customWidth="1"/>
    <col min="8" max="9" width="12.44140625" style="11" customWidth="1"/>
    <col min="10" max="10" width="12.109375" style="11" customWidth="1"/>
    <col min="11" max="11" width="14.5546875" style="11" customWidth="1"/>
    <col min="12" max="12" width="8.88671875" style="11" hidden="1" customWidth="1"/>
    <col min="13" max="13" width="14.44140625" style="11" customWidth="1"/>
    <col min="14" max="14" width="14.6640625" style="11" customWidth="1"/>
    <col min="15" max="15" width="15.33203125" style="11" customWidth="1"/>
    <col min="16" max="16" width="18" style="11" customWidth="1"/>
    <col min="17" max="17" width="17.5546875" style="11" customWidth="1"/>
    <col min="18" max="18" width="20.6640625" style="11" customWidth="1"/>
    <col min="19" max="19" width="15" style="11" customWidth="1"/>
    <col min="20" max="20" width="18.88671875" style="11" customWidth="1"/>
    <col min="21" max="21" width="18.44140625" style="11" customWidth="1"/>
    <col min="22" max="22" width="33.88671875" style="11" customWidth="1"/>
    <col min="23" max="23" width="29.6640625" style="11" customWidth="1"/>
    <col min="24" max="24" width="14.5546875" style="179" customWidth="1"/>
    <col min="25" max="25" width="13.33203125" style="179" customWidth="1"/>
    <col min="26" max="26" width="20.5546875" style="179" customWidth="1"/>
    <col min="27" max="27" width="17" style="179" customWidth="1"/>
    <col min="28" max="31" width="14.44140625" style="11" customWidth="1"/>
    <col min="32" max="32" width="11.109375" style="11" customWidth="1"/>
    <col min="33" max="34" width="9.109375" style="11"/>
    <col min="35" max="35" width="19.44140625" style="11" customWidth="1"/>
    <col min="36" max="16384" width="9.109375" style="11"/>
  </cols>
  <sheetData>
    <row r="1" spans="2:31" ht="25.2" customHeight="1" x14ac:dyDescent="0.3">
      <c r="B1" s="295" t="s">
        <v>0</v>
      </c>
      <c r="C1" s="295"/>
      <c r="D1" s="295"/>
      <c r="E1" s="295"/>
      <c r="F1" s="295"/>
      <c r="G1" s="295"/>
      <c r="H1" s="295"/>
      <c r="I1" s="295"/>
      <c r="J1" s="295"/>
      <c r="K1" s="295"/>
      <c r="L1" s="22"/>
      <c r="M1" s="22"/>
      <c r="N1" s="22"/>
      <c r="O1" s="296" t="s">
        <v>34</v>
      </c>
      <c r="P1" s="296"/>
      <c r="Q1" s="296"/>
      <c r="R1" s="296"/>
      <c r="S1" s="296"/>
      <c r="T1" s="296"/>
      <c r="U1" s="296"/>
      <c r="V1" s="296"/>
    </row>
    <row r="2" spans="2:31" ht="25.2" customHeight="1" x14ac:dyDescent="0.4">
      <c r="B2" s="297" t="s">
        <v>27</v>
      </c>
      <c r="C2" s="297"/>
      <c r="D2" s="297"/>
      <c r="E2" s="297"/>
      <c r="F2" s="297"/>
      <c r="G2" s="297"/>
      <c r="H2" s="297"/>
      <c r="I2" s="297"/>
      <c r="J2" s="297"/>
      <c r="K2" s="297"/>
      <c r="L2" s="8"/>
      <c r="M2" s="8"/>
      <c r="N2" s="8"/>
      <c r="O2" s="298" t="s">
        <v>35</v>
      </c>
      <c r="P2" s="298"/>
      <c r="Q2" s="298"/>
      <c r="R2" s="298"/>
      <c r="S2" s="298"/>
      <c r="T2" s="298"/>
      <c r="U2" s="298"/>
      <c r="V2" s="298"/>
      <c r="W2" s="18"/>
    </row>
    <row r="3" spans="2:31" s="24" customFormat="1" ht="24" customHeight="1" x14ac:dyDescent="0.4">
      <c r="B3" s="294" t="s">
        <v>1</v>
      </c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180"/>
      <c r="X3" s="181"/>
      <c r="Y3" s="181"/>
      <c r="Z3" s="181"/>
      <c r="AA3" s="181"/>
    </row>
    <row r="4" spans="2:31" s="24" customFormat="1" ht="27.6" customHeight="1" x14ac:dyDescent="0.4">
      <c r="B4" s="294" t="s">
        <v>70</v>
      </c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182"/>
      <c r="X4" s="181"/>
      <c r="Y4" s="181"/>
      <c r="Z4" s="181"/>
      <c r="AA4" s="181"/>
    </row>
    <row r="5" spans="2:31" s="24" customFormat="1" ht="22.2" customHeight="1" x14ac:dyDescent="0.4">
      <c r="B5" s="281" t="s">
        <v>36</v>
      </c>
      <c r="C5" s="281"/>
      <c r="D5" s="281"/>
      <c r="E5" s="281"/>
      <c r="F5" s="281"/>
      <c r="G5" s="28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80"/>
      <c r="X5" s="181"/>
      <c r="Y5" s="181"/>
      <c r="Z5" s="181"/>
      <c r="AA5" s="181"/>
    </row>
    <row r="6" spans="2:31" s="27" customFormat="1" ht="25.2" customHeight="1" thickBot="1" x14ac:dyDescent="0.35">
      <c r="B6" s="282" t="s">
        <v>19</v>
      </c>
      <c r="C6" s="282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3"/>
      <c r="S6" s="9"/>
      <c r="T6" s="9"/>
      <c r="U6" s="9"/>
      <c r="V6" s="28"/>
      <c r="W6" s="183"/>
      <c r="X6" s="184"/>
      <c r="Y6" s="184"/>
      <c r="Z6" s="184"/>
      <c r="AA6" s="184"/>
      <c r="AB6" s="29"/>
      <c r="AC6" s="29"/>
      <c r="AD6" s="29"/>
    </row>
    <row r="7" spans="2:31" s="29" customFormat="1" ht="40.200000000000003" customHeight="1" x14ac:dyDescent="0.3">
      <c r="B7" s="283" t="s">
        <v>2</v>
      </c>
      <c r="C7" s="285" t="s">
        <v>3</v>
      </c>
      <c r="D7" s="287" t="s">
        <v>4</v>
      </c>
      <c r="E7" s="287" t="s">
        <v>5</v>
      </c>
      <c r="F7" s="287" t="s">
        <v>6</v>
      </c>
      <c r="G7" s="289" t="s">
        <v>7</v>
      </c>
      <c r="H7" s="290"/>
      <c r="I7" s="290"/>
      <c r="J7" s="291"/>
      <c r="K7" s="289" t="s">
        <v>20</v>
      </c>
      <c r="L7" s="291"/>
      <c r="M7" s="289" t="s">
        <v>9</v>
      </c>
      <c r="N7" s="291"/>
      <c r="O7" s="285" t="s">
        <v>10</v>
      </c>
      <c r="P7" s="285" t="s">
        <v>49</v>
      </c>
      <c r="Q7" s="285" t="s">
        <v>31</v>
      </c>
      <c r="R7" s="285" t="s">
        <v>30</v>
      </c>
      <c r="S7" s="66" t="s">
        <v>8</v>
      </c>
      <c r="T7" s="285" t="s">
        <v>43</v>
      </c>
      <c r="U7" s="299" t="s">
        <v>21</v>
      </c>
      <c r="V7" s="301" t="s">
        <v>12</v>
      </c>
      <c r="W7" s="183"/>
      <c r="X7" s="184"/>
      <c r="Y7" s="184"/>
      <c r="Z7" s="184"/>
      <c r="AA7" s="184"/>
    </row>
    <row r="8" spans="2:31" s="29" customFormat="1" ht="66" customHeight="1" x14ac:dyDescent="0.3">
      <c r="B8" s="284"/>
      <c r="C8" s="286"/>
      <c r="D8" s="288"/>
      <c r="E8" s="288"/>
      <c r="F8" s="288"/>
      <c r="G8" s="143" t="s">
        <v>13</v>
      </c>
      <c r="H8" s="143" t="s">
        <v>46</v>
      </c>
      <c r="I8" s="143" t="s">
        <v>47</v>
      </c>
      <c r="J8" s="148" t="s">
        <v>14</v>
      </c>
      <c r="K8" s="144" t="s">
        <v>15</v>
      </c>
      <c r="L8" s="144" t="s">
        <v>16</v>
      </c>
      <c r="M8" s="143" t="s">
        <v>17</v>
      </c>
      <c r="N8" s="144" t="s">
        <v>18</v>
      </c>
      <c r="O8" s="261"/>
      <c r="P8" s="261"/>
      <c r="Q8" s="261"/>
      <c r="R8" s="261"/>
      <c r="S8" s="144" t="s">
        <v>22</v>
      </c>
      <c r="T8" s="261"/>
      <c r="U8" s="300"/>
      <c r="V8" s="302"/>
      <c r="W8" s="216"/>
      <c r="X8" s="184"/>
      <c r="Y8" s="185"/>
      <c r="Z8" s="185"/>
      <c r="AA8" s="184"/>
    </row>
    <row r="9" spans="2:31" s="29" customFormat="1" ht="41.4" customHeight="1" x14ac:dyDescent="0.3">
      <c r="B9" s="224">
        <v>1</v>
      </c>
      <c r="C9" s="226" t="s">
        <v>50</v>
      </c>
      <c r="D9" s="91"/>
      <c r="E9" s="91"/>
      <c r="F9" s="16"/>
      <c r="G9" s="252">
        <v>7527</v>
      </c>
      <c r="H9" s="246">
        <v>13.5</v>
      </c>
      <c r="I9" s="250">
        <v>15</v>
      </c>
      <c r="J9" s="246">
        <v>3.63</v>
      </c>
      <c r="K9" s="16">
        <v>532615</v>
      </c>
      <c r="L9" s="144"/>
      <c r="M9" s="59">
        <v>83540</v>
      </c>
      <c r="N9" s="31">
        <f>M9/(M9+K9)*100</f>
        <v>13.558276732315733</v>
      </c>
      <c r="O9" s="63">
        <v>9783</v>
      </c>
      <c r="P9" s="88">
        <v>0</v>
      </c>
      <c r="Q9" s="88">
        <f>K9+M9+O9-P9</f>
        <v>625938</v>
      </c>
      <c r="R9" s="59">
        <v>223309.296</v>
      </c>
      <c r="S9" s="62">
        <f>K9/R9</f>
        <v>2.3850999915381936</v>
      </c>
      <c r="T9" s="62">
        <f>(K9+M9)/R9</f>
        <v>2.7591999573542161</v>
      </c>
      <c r="U9" s="61">
        <f>Q9/R9</f>
        <v>2.8030091501430374</v>
      </c>
      <c r="V9" s="58" t="s">
        <v>81</v>
      </c>
      <c r="W9" s="217"/>
      <c r="X9" s="184"/>
      <c r="Y9" s="184"/>
      <c r="Z9" s="184"/>
      <c r="AA9" s="184"/>
      <c r="AB9" s="186"/>
    </row>
    <row r="10" spans="2:31" s="29" customFormat="1" ht="41.4" customHeight="1" x14ac:dyDescent="0.3">
      <c r="B10" s="225"/>
      <c r="C10" s="227"/>
      <c r="D10" s="25"/>
      <c r="E10" s="25"/>
      <c r="F10" s="26"/>
      <c r="G10" s="253"/>
      <c r="H10" s="247"/>
      <c r="I10" s="251"/>
      <c r="J10" s="247"/>
      <c r="K10" s="65">
        <v>3613</v>
      </c>
      <c r="L10" s="69"/>
      <c r="M10" s="59">
        <v>567</v>
      </c>
      <c r="N10" s="31">
        <f t="shared" ref="N10:N18" si="0">M10/(M10+K10)*100</f>
        <v>13.564593301435407</v>
      </c>
      <c r="O10" s="63">
        <v>0</v>
      </c>
      <c r="P10" s="88">
        <v>0</v>
      </c>
      <c r="Q10" s="88">
        <f t="shared" ref="Q10:Q18" si="1">K10+M10+O10-P10</f>
        <v>4180</v>
      </c>
      <c r="R10" s="221" t="s">
        <v>60</v>
      </c>
      <c r="S10" s="222"/>
      <c r="T10" s="222"/>
      <c r="U10" s="223"/>
      <c r="V10" s="58" t="s">
        <v>84</v>
      </c>
      <c r="W10" s="217"/>
      <c r="X10" s="184"/>
      <c r="Y10" s="184"/>
      <c r="Z10" s="184"/>
      <c r="AA10" s="184"/>
      <c r="AB10" s="186"/>
    </row>
    <row r="11" spans="2:31" s="29" customFormat="1" ht="41.4" customHeight="1" x14ac:dyDescent="0.3">
      <c r="B11" s="154">
        <v>2</v>
      </c>
      <c r="C11" s="156" t="s">
        <v>52</v>
      </c>
      <c r="D11" s="25"/>
      <c r="E11" s="25"/>
      <c r="F11" s="26"/>
      <c r="G11" s="146">
        <v>7360</v>
      </c>
      <c r="H11" s="64">
        <v>17.399999999999999</v>
      </c>
      <c r="I11" s="97">
        <v>16</v>
      </c>
      <c r="J11" s="147">
        <v>5.6</v>
      </c>
      <c r="K11" s="65">
        <v>119591</v>
      </c>
      <c r="L11" s="69"/>
      <c r="M11" s="59">
        <v>18413</v>
      </c>
      <c r="N11" s="31">
        <f t="shared" si="0"/>
        <v>13.342366887916294</v>
      </c>
      <c r="O11" s="63">
        <v>2969</v>
      </c>
      <c r="P11" s="88">
        <v>2133</v>
      </c>
      <c r="Q11" s="88">
        <f>K11+M11+O11-P11</f>
        <v>138840</v>
      </c>
      <c r="R11" s="1">
        <v>50824.656712871285</v>
      </c>
      <c r="S11" s="62">
        <f>K11/R11</f>
        <v>2.3530114659822918</v>
      </c>
      <c r="T11" s="62">
        <f>(K11+M11-P11)/R11</f>
        <v>2.6733284352039868</v>
      </c>
      <c r="U11" s="61">
        <f>Q11/R11</f>
        <v>2.7317449635589752</v>
      </c>
      <c r="V11" s="58" t="s">
        <v>55</v>
      </c>
      <c r="W11" s="218"/>
      <c r="X11" s="184"/>
      <c r="Y11" s="184"/>
      <c r="Z11" s="184"/>
      <c r="AA11" s="184"/>
      <c r="AB11" s="188"/>
      <c r="AE11" s="189"/>
    </row>
    <row r="12" spans="2:31" s="29" customFormat="1" ht="41.4" customHeight="1" x14ac:dyDescent="0.3">
      <c r="B12" s="224">
        <v>3</v>
      </c>
      <c r="C12" s="226" t="s">
        <v>66</v>
      </c>
      <c r="D12" s="25"/>
      <c r="E12" s="25"/>
      <c r="F12" s="26"/>
      <c r="G12" s="252">
        <v>7299</v>
      </c>
      <c r="H12" s="246">
        <v>19.399999999999999</v>
      </c>
      <c r="I12" s="250">
        <v>16</v>
      </c>
      <c r="J12" s="246">
        <v>4.5999999999999996</v>
      </c>
      <c r="K12" s="65">
        <v>220974</v>
      </c>
      <c r="L12" s="69"/>
      <c r="M12" s="59">
        <v>28261</v>
      </c>
      <c r="N12" s="31">
        <f t="shared" si="0"/>
        <v>11.33909763877465</v>
      </c>
      <c r="O12" s="63">
        <v>0</v>
      </c>
      <c r="P12" s="88">
        <v>7785</v>
      </c>
      <c r="Q12" s="88">
        <f t="shared" si="1"/>
        <v>241450</v>
      </c>
      <c r="R12" s="1">
        <v>94595.61528712869</v>
      </c>
      <c r="S12" s="62">
        <f>K12/R12</f>
        <v>2.3359856514413644</v>
      </c>
      <c r="T12" s="62">
        <f>(K12+M12-P12)/R12</f>
        <v>2.5524438872469948</v>
      </c>
      <c r="U12" s="61">
        <v>0</v>
      </c>
      <c r="V12" s="58" t="s">
        <v>83</v>
      </c>
      <c r="W12" s="187"/>
      <c r="X12" s="191"/>
      <c r="Y12" s="184"/>
      <c r="Z12" s="184"/>
      <c r="AA12" s="184"/>
      <c r="AB12" s="186"/>
      <c r="AC12" s="189"/>
    </row>
    <row r="13" spans="2:31" s="29" customFormat="1" ht="41.4" customHeight="1" x14ac:dyDescent="0.3">
      <c r="B13" s="225"/>
      <c r="C13" s="227"/>
      <c r="D13" s="25"/>
      <c r="E13" s="25"/>
      <c r="F13" s="26"/>
      <c r="G13" s="253"/>
      <c r="H13" s="247"/>
      <c r="I13" s="251"/>
      <c r="J13" s="247"/>
      <c r="K13" s="65">
        <v>3125</v>
      </c>
      <c r="L13" s="69"/>
      <c r="M13" s="59">
        <v>400</v>
      </c>
      <c r="N13" s="31">
        <f t="shared" si="0"/>
        <v>11.347517730496454</v>
      </c>
      <c r="O13" s="63">
        <v>0</v>
      </c>
      <c r="P13" s="88">
        <v>0</v>
      </c>
      <c r="Q13" s="88">
        <f t="shared" si="1"/>
        <v>3525</v>
      </c>
      <c r="R13" s="221" t="s">
        <v>60</v>
      </c>
      <c r="S13" s="222"/>
      <c r="T13" s="222"/>
      <c r="U13" s="223"/>
      <c r="V13" s="58" t="s">
        <v>84</v>
      </c>
      <c r="W13" s="218"/>
      <c r="X13" s="191"/>
      <c r="Y13" s="184"/>
      <c r="Z13" s="184"/>
      <c r="AA13" s="184"/>
      <c r="AB13" s="186"/>
      <c r="AC13" s="189"/>
    </row>
    <row r="14" spans="2:31" s="29" customFormat="1" ht="41.4" customHeight="1" x14ac:dyDescent="0.3">
      <c r="B14" s="224">
        <v>4</v>
      </c>
      <c r="C14" s="226" t="s">
        <v>80</v>
      </c>
      <c r="D14" s="25"/>
      <c r="E14" s="25"/>
      <c r="F14" s="26"/>
      <c r="G14" s="252">
        <v>7805</v>
      </c>
      <c r="H14" s="246">
        <v>13.35</v>
      </c>
      <c r="I14" s="250">
        <v>15</v>
      </c>
      <c r="J14" s="246">
        <v>2.6</v>
      </c>
      <c r="K14" s="65">
        <v>278937</v>
      </c>
      <c r="L14" s="69"/>
      <c r="M14" s="59">
        <v>25702</v>
      </c>
      <c r="N14" s="31">
        <f t="shared" si="0"/>
        <v>8.4368711819563487</v>
      </c>
      <c r="O14" s="63"/>
      <c r="P14" s="88">
        <v>0</v>
      </c>
      <c r="Q14" s="88">
        <f t="shared" si="1"/>
        <v>304639</v>
      </c>
      <c r="R14" s="1">
        <v>116004.67199999999</v>
      </c>
      <c r="S14" s="62">
        <f>K14/R14</f>
        <v>2.4045324657268976</v>
      </c>
      <c r="T14" s="62">
        <f>(K14+M14)/R14</f>
        <v>2.626092507722448</v>
      </c>
      <c r="U14" s="61">
        <v>0</v>
      </c>
      <c r="V14" s="58" t="s">
        <v>82</v>
      </c>
      <c r="W14" s="218"/>
      <c r="X14" s="191"/>
      <c r="Y14" s="184"/>
      <c r="Z14" s="184"/>
      <c r="AA14" s="184"/>
      <c r="AB14" s="186"/>
      <c r="AC14" s="189"/>
    </row>
    <row r="15" spans="2:31" s="29" customFormat="1" ht="41.4" customHeight="1" x14ac:dyDescent="0.3">
      <c r="B15" s="225"/>
      <c r="C15" s="227"/>
      <c r="D15" s="25"/>
      <c r="E15" s="25"/>
      <c r="F15" s="26"/>
      <c r="G15" s="253"/>
      <c r="H15" s="247"/>
      <c r="I15" s="251"/>
      <c r="J15" s="247"/>
      <c r="K15" s="65">
        <v>3678</v>
      </c>
      <c r="L15" s="69"/>
      <c r="M15" s="59">
        <v>338</v>
      </c>
      <c r="N15" s="31">
        <f t="shared" si="0"/>
        <v>8.4163346613545809</v>
      </c>
      <c r="O15" s="63">
        <v>0</v>
      </c>
      <c r="P15" s="88">
        <v>0</v>
      </c>
      <c r="Q15" s="88">
        <f t="shared" si="1"/>
        <v>4016</v>
      </c>
      <c r="R15" s="221" t="s">
        <v>60</v>
      </c>
      <c r="S15" s="222"/>
      <c r="T15" s="222"/>
      <c r="U15" s="223"/>
      <c r="V15" s="58" t="s">
        <v>84</v>
      </c>
      <c r="W15" s="218"/>
      <c r="X15" s="191"/>
      <c r="Y15" s="184"/>
      <c r="Z15" s="184"/>
      <c r="AA15" s="184"/>
      <c r="AB15" s="186"/>
      <c r="AC15" s="189"/>
    </row>
    <row r="16" spans="2:31" s="29" customFormat="1" ht="41.4" customHeight="1" x14ac:dyDescent="0.3">
      <c r="B16" s="234" t="s">
        <v>63</v>
      </c>
      <c r="C16" s="235"/>
      <c r="D16" s="235"/>
      <c r="E16" s="235"/>
      <c r="F16" s="235"/>
      <c r="G16" s="235"/>
      <c r="H16" s="235"/>
      <c r="I16" s="235"/>
      <c r="J16" s="235"/>
      <c r="K16" s="160">
        <f>K10+K13+K15</f>
        <v>10416</v>
      </c>
      <c r="L16" s="161"/>
      <c r="M16" s="112">
        <f>M10+M13+M15</f>
        <v>1305</v>
      </c>
      <c r="N16" s="162">
        <f t="shared" si="0"/>
        <v>11.1338622984387</v>
      </c>
      <c r="O16" s="103">
        <v>0</v>
      </c>
      <c r="P16" s="163">
        <v>0</v>
      </c>
      <c r="Q16" s="163">
        <f t="shared" si="1"/>
        <v>11721</v>
      </c>
      <c r="R16" s="125"/>
      <c r="S16" s="104"/>
      <c r="T16" s="104"/>
      <c r="U16" s="105"/>
      <c r="V16" s="164"/>
      <c r="W16" s="218"/>
      <c r="X16" s="191"/>
      <c r="Y16" s="184"/>
      <c r="Z16" s="184"/>
      <c r="AA16" s="184"/>
      <c r="AB16" s="186"/>
      <c r="AC16" s="189"/>
    </row>
    <row r="17" spans="1:31" s="29" customFormat="1" ht="41.4" customHeight="1" x14ac:dyDescent="0.3">
      <c r="B17" s="236" t="s">
        <v>64</v>
      </c>
      <c r="C17" s="237"/>
      <c r="D17" s="237"/>
      <c r="E17" s="237"/>
      <c r="F17" s="237"/>
      <c r="G17" s="237"/>
      <c r="H17" s="237"/>
      <c r="I17" s="237"/>
      <c r="J17" s="237"/>
      <c r="K17" s="165">
        <f>K9+K11+K12+K14</f>
        <v>1152117</v>
      </c>
      <c r="L17" s="166"/>
      <c r="M17" s="123">
        <f>M9+M11+M12+M14</f>
        <v>155916</v>
      </c>
      <c r="N17" s="167">
        <f t="shared" si="0"/>
        <v>11.919882755251587</v>
      </c>
      <c r="O17" s="89">
        <f>O9+O11</f>
        <v>12752</v>
      </c>
      <c r="P17" s="90">
        <f>P11+P12</f>
        <v>9918</v>
      </c>
      <c r="Q17" s="170">
        <f t="shared" si="1"/>
        <v>1310867</v>
      </c>
      <c r="R17" s="124">
        <f>R9+R11+R12+R14</f>
        <v>484734.24</v>
      </c>
      <c r="S17" s="126">
        <f>K17/R17</f>
        <v>2.3768013582040335</v>
      </c>
      <c r="T17" s="126">
        <f>(K17+M17-P17)/R17</f>
        <v>2.6779932030384321</v>
      </c>
      <c r="U17" s="126">
        <f>Q17/R17</f>
        <v>2.7043004018036769</v>
      </c>
      <c r="V17" s="168"/>
      <c r="W17" s="190"/>
      <c r="X17" s="191"/>
      <c r="Y17" s="184"/>
      <c r="Z17" s="184"/>
      <c r="AA17" s="184"/>
      <c r="AB17" s="186"/>
      <c r="AC17" s="189"/>
    </row>
    <row r="18" spans="1:31" s="32" customFormat="1" ht="33" customHeight="1" x14ac:dyDescent="0.3">
      <c r="A18" s="30"/>
      <c r="B18" s="238" t="s">
        <v>65</v>
      </c>
      <c r="C18" s="239"/>
      <c r="D18" s="239"/>
      <c r="E18" s="239"/>
      <c r="F18" s="239"/>
      <c r="G18" s="239"/>
      <c r="H18" s="239"/>
      <c r="I18" s="239"/>
      <c r="J18" s="239"/>
      <c r="K18" s="173">
        <f>K16+K17</f>
        <v>1162533</v>
      </c>
      <c r="L18" s="173">
        <f t="shared" ref="L18" si="2">SUM(L9:L12)</f>
        <v>0</v>
      </c>
      <c r="M18" s="173">
        <f>M16+M17</f>
        <v>157221</v>
      </c>
      <c r="N18" s="169">
        <f t="shared" si="0"/>
        <v>11.912901949908846</v>
      </c>
      <c r="O18" s="174">
        <f>O17</f>
        <v>12752</v>
      </c>
      <c r="P18" s="175">
        <f>P17</f>
        <v>9918</v>
      </c>
      <c r="Q18" s="176">
        <f t="shared" si="1"/>
        <v>1322588</v>
      </c>
      <c r="R18" s="174">
        <f>R17</f>
        <v>484734.24</v>
      </c>
      <c r="S18" s="177">
        <f>K18/R18</f>
        <v>2.398289421436373</v>
      </c>
      <c r="T18" s="177">
        <f>(K18+M18-P18)/R18</f>
        <v>2.7021734631331182</v>
      </c>
      <c r="U18" s="178">
        <f>Q18/R18</f>
        <v>2.728480661898363</v>
      </c>
      <c r="V18" s="159"/>
      <c r="W18" s="192"/>
      <c r="X18" s="193"/>
      <c r="Y18" s="193"/>
      <c r="Z18" s="193"/>
      <c r="AA18" s="193"/>
      <c r="AB18" s="194"/>
      <c r="AC18" s="195"/>
      <c r="AD18" s="195"/>
      <c r="AE18" s="194"/>
    </row>
    <row r="19" spans="1:31" s="29" customFormat="1" ht="25.95" customHeight="1" x14ac:dyDescent="0.3">
      <c r="B19" s="292" t="s">
        <v>37</v>
      </c>
      <c r="C19" s="293"/>
      <c r="D19" s="293"/>
      <c r="E19" s="293"/>
      <c r="F19" s="293"/>
      <c r="G19" s="293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129"/>
      <c r="V19" s="33"/>
      <c r="W19" s="196"/>
      <c r="X19" s="184"/>
      <c r="Y19" s="197"/>
      <c r="Z19" s="184"/>
      <c r="AA19" s="184"/>
    </row>
    <row r="20" spans="1:31" s="29" customFormat="1" ht="25.95" customHeight="1" x14ac:dyDescent="0.3">
      <c r="B20" s="3" t="s">
        <v>51</v>
      </c>
      <c r="C20" s="130"/>
      <c r="D20" s="130"/>
      <c r="E20" s="130"/>
      <c r="F20" s="130"/>
      <c r="G20" s="130"/>
      <c r="H20" s="87"/>
      <c r="I20" s="87"/>
      <c r="J20" s="87"/>
      <c r="K20" s="87"/>
      <c r="L20" s="87"/>
      <c r="M20" s="87"/>
      <c r="N20" s="131"/>
      <c r="O20" s="87"/>
      <c r="P20" s="87"/>
      <c r="Q20" s="87"/>
      <c r="R20" s="87"/>
      <c r="S20" s="87"/>
      <c r="T20" s="87"/>
      <c r="U20" s="87"/>
      <c r="V20" s="34"/>
      <c r="W20" s="196"/>
      <c r="X20" s="184"/>
      <c r="Y20" s="197"/>
      <c r="Z20" s="184"/>
      <c r="AA20" s="184"/>
    </row>
    <row r="21" spans="1:31" s="29" customFormat="1" ht="34.950000000000003" customHeight="1" x14ac:dyDescent="0.3">
      <c r="B21" s="262" t="s">
        <v>2</v>
      </c>
      <c r="C21" s="259" t="s">
        <v>3</v>
      </c>
      <c r="D21" s="258" t="s">
        <v>4</v>
      </c>
      <c r="E21" s="258" t="s">
        <v>5</v>
      </c>
      <c r="F21" s="258" t="s">
        <v>6</v>
      </c>
      <c r="G21" s="258" t="s">
        <v>7</v>
      </c>
      <c r="H21" s="258"/>
      <c r="I21" s="258"/>
      <c r="J21" s="258"/>
      <c r="K21" s="258" t="s">
        <v>20</v>
      </c>
      <c r="L21" s="258"/>
      <c r="M21" s="258" t="s">
        <v>9</v>
      </c>
      <c r="N21" s="258"/>
      <c r="O21" s="259" t="s">
        <v>10</v>
      </c>
      <c r="P21" s="260" t="s">
        <v>49</v>
      </c>
      <c r="Q21" s="260" t="s">
        <v>31</v>
      </c>
      <c r="R21" s="259" t="s">
        <v>30</v>
      </c>
      <c r="S21" s="144" t="s">
        <v>8</v>
      </c>
      <c r="T21" s="259" t="s">
        <v>43</v>
      </c>
      <c r="U21" s="275" t="s">
        <v>11</v>
      </c>
      <c r="V21" s="274" t="s">
        <v>12</v>
      </c>
      <c r="W21" s="196"/>
      <c r="X21" s="184"/>
      <c r="Y21" s="197"/>
      <c r="Z21" s="184"/>
      <c r="AA21" s="184"/>
    </row>
    <row r="22" spans="1:31" s="29" customFormat="1" ht="63" customHeight="1" x14ac:dyDescent="0.3">
      <c r="B22" s="262"/>
      <c r="C22" s="259"/>
      <c r="D22" s="258"/>
      <c r="E22" s="258"/>
      <c r="F22" s="258"/>
      <c r="G22" s="143" t="s">
        <v>13</v>
      </c>
      <c r="H22" s="143" t="s">
        <v>46</v>
      </c>
      <c r="I22" s="143" t="s">
        <v>47</v>
      </c>
      <c r="J22" s="148" t="s">
        <v>14</v>
      </c>
      <c r="K22" s="144" t="s">
        <v>15</v>
      </c>
      <c r="L22" s="144" t="s">
        <v>16</v>
      </c>
      <c r="M22" s="143" t="s">
        <v>17</v>
      </c>
      <c r="N22" s="144" t="s">
        <v>18</v>
      </c>
      <c r="O22" s="259"/>
      <c r="P22" s="261"/>
      <c r="Q22" s="261"/>
      <c r="R22" s="259"/>
      <c r="S22" s="144" t="s">
        <v>22</v>
      </c>
      <c r="T22" s="259"/>
      <c r="U22" s="275"/>
      <c r="V22" s="274"/>
      <c r="W22" s="219"/>
      <c r="X22" s="184"/>
      <c r="Y22" s="184"/>
      <c r="Z22" s="184"/>
      <c r="AA22" s="184"/>
    </row>
    <row r="23" spans="1:31" s="29" customFormat="1" ht="47.4" customHeight="1" x14ac:dyDescent="0.3">
      <c r="B23" s="224">
        <v>1</v>
      </c>
      <c r="C23" s="226" t="s">
        <v>50</v>
      </c>
      <c r="D23" s="91"/>
      <c r="E23" s="91"/>
      <c r="F23" s="16"/>
      <c r="G23" s="252">
        <v>7527</v>
      </c>
      <c r="H23" s="246">
        <v>13.5</v>
      </c>
      <c r="I23" s="250">
        <v>15</v>
      </c>
      <c r="J23" s="246">
        <v>3.63</v>
      </c>
      <c r="K23" s="158">
        <v>208981</v>
      </c>
      <c r="L23" s="144"/>
      <c r="M23" s="67">
        <v>32778</v>
      </c>
      <c r="N23" s="2">
        <f>M23/(M23+K23)*100</f>
        <v>13.558130204046179</v>
      </c>
      <c r="O23" s="74">
        <v>3838</v>
      </c>
      <c r="P23" s="63">
        <v>0</v>
      </c>
      <c r="Q23" s="63">
        <f>K23+M23+O23-P23</f>
        <v>245597</v>
      </c>
      <c r="R23" s="149">
        <v>121972.19999999998</v>
      </c>
      <c r="S23" s="17">
        <f>+K23/R23</f>
        <v>1.7133494353631404</v>
      </c>
      <c r="T23" s="36">
        <f>(K23+M23-P23)/R23</f>
        <v>1.9820828024746626</v>
      </c>
      <c r="U23" s="75">
        <f>Q23/R23</f>
        <v>2.0135489890319271</v>
      </c>
      <c r="V23" s="58" t="s">
        <v>81</v>
      </c>
      <c r="W23" s="199"/>
      <c r="X23" s="184"/>
      <c r="Y23" s="191"/>
      <c r="Z23" s="191"/>
      <c r="AA23" s="191"/>
      <c r="AB23" s="189"/>
    </row>
    <row r="24" spans="1:31" s="29" customFormat="1" ht="47.4" customHeight="1" x14ac:dyDescent="0.3">
      <c r="B24" s="225"/>
      <c r="C24" s="227"/>
      <c r="D24" s="25"/>
      <c r="E24" s="25"/>
      <c r="F24" s="26"/>
      <c r="G24" s="253"/>
      <c r="H24" s="247"/>
      <c r="I24" s="251"/>
      <c r="J24" s="247"/>
      <c r="K24" s="158">
        <v>16319</v>
      </c>
      <c r="L24" s="144"/>
      <c r="M24" s="67">
        <v>2560</v>
      </c>
      <c r="N24" s="2">
        <f t="shared" ref="N24:N29" si="3">M24/(M24+K24)*100</f>
        <v>13.560040256369509</v>
      </c>
      <c r="O24" s="74">
        <v>0</v>
      </c>
      <c r="P24" s="63">
        <v>0</v>
      </c>
      <c r="Q24" s="63">
        <f t="shared" ref="Q24:Q28" si="4">K24+M24+O24-P24</f>
        <v>18879</v>
      </c>
      <c r="R24" s="221" t="s">
        <v>60</v>
      </c>
      <c r="S24" s="222"/>
      <c r="T24" s="222"/>
      <c r="U24" s="223"/>
      <c r="V24" s="58" t="s">
        <v>61</v>
      </c>
      <c r="W24" s="199"/>
      <c r="X24" s="184"/>
      <c r="Y24" s="200"/>
      <c r="Z24" s="200"/>
      <c r="AA24" s="200"/>
      <c r="AB24" s="189"/>
    </row>
    <row r="25" spans="1:31" s="29" customFormat="1" ht="39.6" customHeight="1" x14ac:dyDescent="0.3">
      <c r="B25" s="266">
        <v>2</v>
      </c>
      <c r="C25" s="226" t="s">
        <v>52</v>
      </c>
      <c r="D25" s="25"/>
      <c r="E25" s="25"/>
      <c r="F25" s="26"/>
      <c r="G25" s="252">
        <v>7360</v>
      </c>
      <c r="H25" s="246">
        <v>17.399999999999999</v>
      </c>
      <c r="I25" s="250">
        <v>16</v>
      </c>
      <c r="J25" s="246">
        <v>5.6</v>
      </c>
      <c r="K25" s="158">
        <v>77898</v>
      </c>
      <c r="L25" s="144"/>
      <c r="M25" s="67">
        <v>11994</v>
      </c>
      <c r="N25" s="2">
        <f t="shared" si="3"/>
        <v>13.342677880122814</v>
      </c>
      <c r="O25" s="59">
        <v>1944</v>
      </c>
      <c r="P25" s="63">
        <v>1329</v>
      </c>
      <c r="Q25" s="63">
        <f>K25+M25+O25-P25</f>
        <v>90507</v>
      </c>
      <c r="R25" s="63">
        <v>45447.745936008258</v>
      </c>
      <c r="S25" s="17">
        <f>+K25/R25</f>
        <v>1.7140123980996249</v>
      </c>
      <c r="T25" s="36">
        <f>(K25+M25-P25)/R25</f>
        <v>1.9486775015134803</v>
      </c>
      <c r="U25" s="75">
        <f>Q25/R25</f>
        <v>1.9914519001104363</v>
      </c>
      <c r="V25" s="58" t="s">
        <v>55</v>
      </c>
      <c r="W25" s="199"/>
      <c r="X25" s="184"/>
      <c r="Y25" s="184"/>
      <c r="Z25" s="184"/>
      <c r="AA25" s="184"/>
      <c r="AB25" s="189"/>
      <c r="AC25" s="201"/>
      <c r="AD25" s="201"/>
      <c r="AE25" s="201"/>
    </row>
    <row r="26" spans="1:31" s="29" customFormat="1" ht="39.6" customHeight="1" x14ac:dyDescent="0.3">
      <c r="B26" s="267"/>
      <c r="C26" s="227"/>
      <c r="D26" s="25"/>
      <c r="E26" s="25"/>
      <c r="F26" s="26"/>
      <c r="G26" s="253"/>
      <c r="H26" s="247"/>
      <c r="I26" s="251"/>
      <c r="J26" s="247"/>
      <c r="K26" s="70">
        <v>387</v>
      </c>
      <c r="L26" s="145"/>
      <c r="M26" s="71">
        <v>60</v>
      </c>
      <c r="N26" s="2">
        <f t="shared" si="3"/>
        <v>13.422818791946309</v>
      </c>
      <c r="O26" s="96">
        <v>0</v>
      </c>
      <c r="P26" s="63">
        <v>0</v>
      </c>
      <c r="Q26" s="63">
        <f t="shared" si="4"/>
        <v>447</v>
      </c>
      <c r="R26" s="221" t="s">
        <v>60</v>
      </c>
      <c r="S26" s="222"/>
      <c r="T26" s="222"/>
      <c r="U26" s="223"/>
      <c r="V26" s="58" t="s">
        <v>62</v>
      </c>
      <c r="W26" s="199"/>
      <c r="X26" s="184"/>
      <c r="Y26" s="184"/>
      <c r="Z26" s="184"/>
      <c r="AA26" s="184"/>
      <c r="AB26" s="189"/>
      <c r="AC26" s="201"/>
      <c r="AD26" s="201"/>
      <c r="AE26" s="201"/>
    </row>
    <row r="27" spans="1:31" s="29" customFormat="1" ht="39.6" customHeight="1" x14ac:dyDescent="0.3">
      <c r="B27" s="242">
        <v>3</v>
      </c>
      <c r="C27" s="226" t="s">
        <v>66</v>
      </c>
      <c r="D27" s="94"/>
      <c r="E27" s="94"/>
      <c r="F27" s="95"/>
      <c r="G27" s="245">
        <v>7299</v>
      </c>
      <c r="H27" s="241">
        <v>19.399999999999999</v>
      </c>
      <c r="I27" s="240">
        <v>16</v>
      </c>
      <c r="J27" s="241">
        <v>4.5999999999999996</v>
      </c>
      <c r="K27" s="70">
        <v>11666</v>
      </c>
      <c r="L27" s="145"/>
      <c r="M27" s="71">
        <v>1492</v>
      </c>
      <c r="N27" s="2">
        <f t="shared" si="3"/>
        <v>11.339109287125702</v>
      </c>
      <c r="O27" s="72">
        <v>0</v>
      </c>
      <c r="P27" s="63">
        <v>635</v>
      </c>
      <c r="Q27" s="63">
        <f t="shared" si="4"/>
        <v>12523</v>
      </c>
      <c r="R27" s="73">
        <v>6826.0540639917426</v>
      </c>
      <c r="S27" s="17">
        <f>+K27/R27</f>
        <v>1.7090400824012741</v>
      </c>
      <c r="T27" s="36">
        <f>(K27+M27-P27)/R27</f>
        <v>1.8345884580757035</v>
      </c>
      <c r="U27" s="75">
        <v>0</v>
      </c>
      <c r="V27" s="127" t="s">
        <v>61</v>
      </c>
      <c r="W27" s="199"/>
      <c r="X27" s="184"/>
      <c r="Y27" s="184"/>
      <c r="Z27" s="184"/>
      <c r="AA27" s="184"/>
      <c r="AB27" s="189"/>
      <c r="AC27" s="189"/>
    </row>
    <row r="28" spans="1:31" s="29" customFormat="1" ht="39.6" customHeight="1" x14ac:dyDescent="0.3">
      <c r="B28" s="243"/>
      <c r="C28" s="227"/>
      <c r="D28" s="94"/>
      <c r="E28" s="94"/>
      <c r="F28" s="95"/>
      <c r="G28" s="245"/>
      <c r="H28" s="241"/>
      <c r="I28" s="240"/>
      <c r="J28" s="241"/>
      <c r="K28" s="98">
        <v>6606</v>
      </c>
      <c r="L28" s="106"/>
      <c r="M28" s="107">
        <v>844</v>
      </c>
      <c r="N28" s="2">
        <f t="shared" si="3"/>
        <v>11.328859060402685</v>
      </c>
      <c r="O28" s="108">
        <v>0</v>
      </c>
      <c r="P28" s="109">
        <v>0</v>
      </c>
      <c r="Q28" s="63">
        <f t="shared" si="4"/>
        <v>7450</v>
      </c>
      <c r="R28" s="276" t="s">
        <v>60</v>
      </c>
      <c r="S28" s="277"/>
      <c r="T28" s="277"/>
      <c r="U28" s="278"/>
      <c r="V28" s="58" t="s">
        <v>61</v>
      </c>
      <c r="W28" s="199"/>
      <c r="X28" s="184"/>
      <c r="Y28" s="184"/>
      <c r="Z28" s="184"/>
      <c r="AA28" s="184"/>
      <c r="AB28" s="189"/>
      <c r="AC28" s="189"/>
    </row>
    <row r="29" spans="1:31" s="29" customFormat="1" ht="39.6" customHeight="1" x14ac:dyDescent="0.3">
      <c r="B29" s="234" t="s">
        <v>63</v>
      </c>
      <c r="C29" s="235"/>
      <c r="D29" s="235"/>
      <c r="E29" s="235"/>
      <c r="F29" s="235"/>
      <c r="G29" s="235"/>
      <c r="H29" s="235"/>
      <c r="I29" s="235"/>
      <c r="J29" s="235"/>
      <c r="K29" s="110">
        <f>K24+K26+K28</f>
        <v>23312</v>
      </c>
      <c r="L29" s="110">
        <f>L24+L26+L28</f>
        <v>0</v>
      </c>
      <c r="M29" s="110">
        <f>M24+M26+M28</f>
        <v>3464</v>
      </c>
      <c r="N29" s="102">
        <f t="shared" si="3"/>
        <v>12.936958470271886</v>
      </c>
      <c r="O29" s="112">
        <f>O26</f>
        <v>0</v>
      </c>
      <c r="P29" s="112">
        <v>0</v>
      </c>
      <c r="Q29" s="103">
        <f>K29+M29+O29-P29</f>
        <v>26776</v>
      </c>
      <c r="R29" s="125"/>
      <c r="S29" s="104"/>
      <c r="T29" s="104"/>
      <c r="U29" s="105"/>
      <c r="V29" s="132"/>
      <c r="W29" s="199"/>
      <c r="X29" s="184"/>
      <c r="Y29" s="184"/>
      <c r="Z29" s="184"/>
      <c r="AA29" s="184"/>
      <c r="AB29" s="189"/>
      <c r="AC29" s="189"/>
    </row>
    <row r="30" spans="1:31" s="29" customFormat="1" ht="39.6" customHeight="1" x14ac:dyDescent="0.3">
      <c r="B30" s="236" t="s">
        <v>64</v>
      </c>
      <c r="C30" s="237"/>
      <c r="D30" s="237"/>
      <c r="E30" s="237"/>
      <c r="F30" s="237"/>
      <c r="G30" s="237"/>
      <c r="H30" s="237"/>
      <c r="I30" s="237"/>
      <c r="J30" s="237"/>
      <c r="K30" s="122">
        <f>K23+K25+K27</f>
        <v>298545</v>
      </c>
      <c r="L30" s="122">
        <f>L23+L25+L27</f>
        <v>0</v>
      </c>
      <c r="M30" s="122">
        <f>M23+M25+M27</f>
        <v>46264</v>
      </c>
      <c r="N30" s="81">
        <f>M30/(M30+K30)*100</f>
        <v>13.417283191564024</v>
      </c>
      <c r="O30" s="123">
        <f>O25+O23</f>
        <v>5782</v>
      </c>
      <c r="P30" s="123">
        <f>P25+P27</f>
        <v>1964</v>
      </c>
      <c r="Q30" s="89">
        <f>K30+M30+O30-P30</f>
        <v>348627</v>
      </c>
      <c r="R30" s="124">
        <f>R23+R25+R27</f>
        <v>174245.99999999997</v>
      </c>
      <c r="S30" s="126">
        <f>K30/R30</f>
        <v>1.7133535346578976</v>
      </c>
      <c r="T30" s="126">
        <f>(K30+M30-P30)/R30</f>
        <v>1.9675917955075013</v>
      </c>
      <c r="U30" s="126">
        <f>Q30/R30</f>
        <v>2.0007747667091356</v>
      </c>
      <c r="V30" s="76"/>
      <c r="W30" s="199"/>
      <c r="X30" s="184"/>
      <c r="Y30" s="184"/>
      <c r="Z30" s="184"/>
      <c r="AA30" s="184"/>
      <c r="AB30" s="189"/>
      <c r="AC30" s="189"/>
    </row>
    <row r="31" spans="1:31" s="29" customFormat="1" ht="29.4" customHeight="1" x14ac:dyDescent="0.3">
      <c r="B31" s="238" t="s">
        <v>65</v>
      </c>
      <c r="C31" s="239"/>
      <c r="D31" s="239"/>
      <c r="E31" s="239"/>
      <c r="F31" s="239"/>
      <c r="G31" s="239"/>
      <c r="H31" s="239"/>
      <c r="I31" s="239"/>
      <c r="J31" s="239"/>
      <c r="K31" s="113">
        <f>K29+K30</f>
        <v>321857</v>
      </c>
      <c r="L31" s="113">
        <f>SUM(L23:L27)</f>
        <v>0</v>
      </c>
      <c r="M31" s="113">
        <f>M29+M30</f>
        <v>49728</v>
      </c>
      <c r="N31" s="114">
        <f>M31/(M31+K31)*100</f>
        <v>13.382671528721557</v>
      </c>
      <c r="O31" s="115">
        <f>O29+O30</f>
        <v>5782</v>
      </c>
      <c r="P31" s="116">
        <f>P29+P30</f>
        <v>1964</v>
      </c>
      <c r="Q31" s="63">
        <f>K31+M31+O31-P31</f>
        <v>375403</v>
      </c>
      <c r="R31" s="117">
        <f>R30</f>
        <v>174245.99999999997</v>
      </c>
      <c r="S31" s="118">
        <f>+K31/R31</f>
        <v>1.8471413977939239</v>
      </c>
      <c r="T31" s="119">
        <f>(K31+M31-P31)/R31</f>
        <v>2.1212595984986748</v>
      </c>
      <c r="U31" s="120">
        <f>Q31/R31</f>
        <v>2.1544425697003091</v>
      </c>
      <c r="V31" s="121"/>
      <c r="W31" s="198"/>
      <c r="X31" s="184"/>
      <c r="Y31" s="184"/>
      <c r="Z31" s="184"/>
      <c r="AA31" s="184"/>
    </row>
    <row r="32" spans="1:31" s="29" customFormat="1" ht="37.950000000000003" customHeight="1" x14ac:dyDescent="0.3">
      <c r="B32" s="3" t="s">
        <v>56</v>
      </c>
      <c r="C32" s="130"/>
      <c r="D32" s="130"/>
      <c r="E32" s="130"/>
      <c r="F32" s="130"/>
      <c r="G32" s="130"/>
      <c r="H32" s="87"/>
      <c r="I32" s="87"/>
      <c r="J32" s="87"/>
      <c r="K32" s="87"/>
      <c r="L32" s="87"/>
      <c r="M32" s="87"/>
      <c r="N32" s="131"/>
      <c r="O32" s="87"/>
      <c r="P32" s="87"/>
      <c r="Q32" s="87"/>
      <c r="R32" s="87"/>
      <c r="S32" s="87"/>
      <c r="T32" s="87"/>
      <c r="U32" s="87"/>
      <c r="V32" s="34"/>
      <c r="W32" s="196"/>
      <c r="X32" s="184"/>
      <c r="Y32" s="197"/>
      <c r="Z32" s="184"/>
      <c r="AA32" s="184"/>
    </row>
    <row r="33" spans="2:31" s="29" customFormat="1" ht="35.4" customHeight="1" x14ac:dyDescent="0.3">
      <c r="B33" s="262" t="s">
        <v>2</v>
      </c>
      <c r="C33" s="259" t="s">
        <v>3</v>
      </c>
      <c r="D33" s="258" t="s">
        <v>4</v>
      </c>
      <c r="E33" s="258" t="s">
        <v>5</v>
      </c>
      <c r="F33" s="258" t="s">
        <v>6</v>
      </c>
      <c r="G33" s="258" t="s">
        <v>7</v>
      </c>
      <c r="H33" s="258"/>
      <c r="I33" s="258"/>
      <c r="J33" s="258"/>
      <c r="K33" s="258" t="s">
        <v>20</v>
      </c>
      <c r="L33" s="258"/>
      <c r="M33" s="258" t="s">
        <v>9</v>
      </c>
      <c r="N33" s="258"/>
      <c r="O33" s="259" t="s">
        <v>10</v>
      </c>
      <c r="P33" s="260" t="s">
        <v>49</v>
      </c>
      <c r="Q33" s="260" t="s">
        <v>31</v>
      </c>
      <c r="R33" s="259" t="s">
        <v>30</v>
      </c>
      <c r="S33" s="144" t="s">
        <v>8</v>
      </c>
      <c r="T33" s="259" t="s">
        <v>43</v>
      </c>
      <c r="U33" s="275" t="s">
        <v>11</v>
      </c>
      <c r="V33" s="274" t="s">
        <v>12</v>
      </c>
      <c r="W33" s="196"/>
      <c r="X33" s="184"/>
      <c r="Y33" s="197"/>
      <c r="Z33" s="184"/>
      <c r="AA33" s="184"/>
    </row>
    <row r="34" spans="2:31" s="29" customFormat="1" ht="63" customHeight="1" x14ac:dyDescent="0.3">
      <c r="B34" s="262"/>
      <c r="C34" s="259"/>
      <c r="D34" s="258"/>
      <c r="E34" s="258"/>
      <c r="F34" s="258"/>
      <c r="G34" s="143" t="s">
        <v>13</v>
      </c>
      <c r="H34" s="143" t="s">
        <v>46</v>
      </c>
      <c r="I34" s="143" t="s">
        <v>47</v>
      </c>
      <c r="J34" s="148" t="s">
        <v>14</v>
      </c>
      <c r="K34" s="144" t="s">
        <v>15</v>
      </c>
      <c r="L34" s="144" t="s">
        <v>16</v>
      </c>
      <c r="M34" s="143" t="s">
        <v>17</v>
      </c>
      <c r="N34" s="144" t="s">
        <v>18</v>
      </c>
      <c r="O34" s="259"/>
      <c r="P34" s="261"/>
      <c r="Q34" s="261"/>
      <c r="R34" s="259"/>
      <c r="S34" s="144" t="s">
        <v>22</v>
      </c>
      <c r="T34" s="259"/>
      <c r="U34" s="275"/>
      <c r="V34" s="274"/>
      <c r="W34" s="198"/>
      <c r="X34" s="184"/>
      <c r="Y34" s="184"/>
      <c r="Z34" s="184"/>
      <c r="AA34" s="184"/>
    </row>
    <row r="35" spans="2:31" s="29" customFormat="1" ht="47.4" customHeight="1" x14ac:dyDescent="0.3">
      <c r="B35" s="142">
        <v>1</v>
      </c>
      <c r="C35" s="156" t="s">
        <v>50</v>
      </c>
      <c r="D35" s="91"/>
      <c r="E35" s="91"/>
      <c r="F35" s="16"/>
      <c r="G35" s="146">
        <v>7527</v>
      </c>
      <c r="H35" s="64">
        <v>13.5</v>
      </c>
      <c r="I35" s="92">
        <v>15</v>
      </c>
      <c r="J35" s="147">
        <v>3.63</v>
      </c>
      <c r="K35" s="16">
        <v>217062</v>
      </c>
      <c r="L35" s="144"/>
      <c r="M35" s="67">
        <v>34046</v>
      </c>
      <c r="N35" s="2">
        <f>M35/(M35+K35)*100</f>
        <v>13.558309571976999</v>
      </c>
      <c r="O35" s="74">
        <v>3987</v>
      </c>
      <c r="P35" s="63">
        <v>0</v>
      </c>
      <c r="Q35" s="63">
        <f>K35+M35+O35-P35</f>
        <v>255095</v>
      </c>
      <c r="R35" s="149">
        <v>78318.256450629735</v>
      </c>
      <c r="S35" s="17">
        <f>+K35/R35</f>
        <v>2.7715376955158795</v>
      </c>
      <c r="T35" s="36">
        <f>(K35+M35-P35)/R35</f>
        <v>3.2062511524154456</v>
      </c>
      <c r="U35" s="75">
        <f>Q35/R35</f>
        <v>3.2571588229981447</v>
      </c>
      <c r="V35" s="58" t="s">
        <v>81</v>
      </c>
      <c r="W35" s="206"/>
      <c r="X35" s="203"/>
      <c r="Y35" s="200"/>
      <c r="Z35" s="200"/>
      <c r="AA35" s="184"/>
      <c r="AB35" s="189"/>
    </row>
    <row r="36" spans="2:31" s="29" customFormat="1" ht="47.4" customHeight="1" x14ac:dyDescent="0.3">
      <c r="B36" s="142">
        <v>2</v>
      </c>
      <c r="C36" s="157" t="s">
        <v>66</v>
      </c>
      <c r="D36" s="94"/>
      <c r="E36" s="94"/>
      <c r="F36" s="95"/>
      <c r="G36" s="150">
        <v>7299</v>
      </c>
      <c r="H36" s="64">
        <v>19.399999999999999</v>
      </c>
      <c r="I36" s="97">
        <v>16</v>
      </c>
      <c r="J36" s="151">
        <v>4.5999999999999996</v>
      </c>
      <c r="K36" s="70">
        <v>213767</v>
      </c>
      <c r="L36" s="145"/>
      <c r="M36" s="71">
        <v>27339</v>
      </c>
      <c r="N36" s="2">
        <f t="shared" ref="N36:N37" si="5">M36/(M36+K36)*100</f>
        <v>11.338996126185164</v>
      </c>
      <c r="O36" s="72">
        <v>0</v>
      </c>
      <c r="P36" s="63">
        <v>7426</v>
      </c>
      <c r="Q36" s="63">
        <f t="shared" ref="Q36:Q37" si="6">K36+M36+O36-P36</f>
        <v>233680</v>
      </c>
      <c r="R36" s="73">
        <v>81123.359999999986</v>
      </c>
      <c r="S36" s="17">
        <f t="shared" ref="S36:S37" si="7">+K36/R36</f>
        <v>2.6350856276170025</v>
      </c>
      <c r="T36" s="36">
        <f t="shared" ref="T36:T37" si="8">(K36+M36-P36)/R36</f>
        <v>2.8805512986641584</v>
      </c>
      <c r="U36" s="75">
        <v>0</v>
      </c>
      <c r="V36" s="127" t="s">
        <v>83</v>
      </c>
      <c r="W36" s="206"/>
      <c r="X36" s="200"/>
      <c r="Y36" s="184"/>
      <c r="Z36" s="184"/>
      <c r="AA36" s="184"/>
      <c r="AB36" s="189"/>
      <c r="AC36" s="189"/>
    </row>
    <row r="37" spans="2:31" s="29" customFormat="1" ht="47.4" customHeight="1" x14ac:dyDescent="0.3">
      <c r="B37" s="155">
        <v>3</v>
      </c>
      <c r="C37" s="157" t="s">
        <v>80</v>
      </c>
      <c r="D37" s="25"/>
      <c r="E37" s="25"/>
      <c r="F37" s="26"/>
      <c r="G37" s="146">
        <v>7805</v>
      </c>
      <c r="H37" s="64">
        <v>13.35</v>
      </c>
      <c r="I37" s="92">
        <v>15</v>
      </c>
      <c r="J37" s="147">
        <v>2.6</v>
      </c>
      <c r="K37" s="16">
        <v>300361</v>
      </c>
      <c r="L37" s="144"/>
      <c r="M37" s="67">
        <v>27676</v>
      </c>
      <c r="N37" s="2">
        <f t="shared" si="5"/>
        <v>8.4368531598569678</v>
      </c>
      <c r="O37" s="61">
        <v>0</v>
      </c>
      <c r="P37" s="59">
        <v>0</v>
      </c>
      <c r="Q37" s="63">
        <f t="shared" si="6"/>
        <v>328037</v>
      </c>
      <c r="R37" s="59">
        <v>110969.58354937023</v>
      </c>
      <c r="S37" s="17">
        <f t="shared" si="7"/>
        <v>2.7066966495947042</v>
      </c>
      <c r="T37" s="36">
        <f t="shared" si="8"/>
        <v>2.9560983244931864</v>
      </c>
      <c r="U37" s="75">
        <v>0</v>
      </c>
      <c r="V37" s="127" t="s">
        <v>82</v>
      </c>
      <c r="W37" s="206"/>
      <c r="X37" s="200"/>
      <c r="Y37" s="184"/>
      <c r="Z37" s="184"/>
      <c r="AA37" s="184"/>
      <c r="AB37" s="189"/>
      <c r="AC37" s="189"/>
    </row>
    <row r="38" spans="2:31" s="29" customFormat="1" ht="33" customHeight="1" x14ac:dyDescent="0.3">
      <c r="B38" s="68"/>
      <c r="C38" s="279" t="s">
        <v>45</v>
      </c>
      <c r="D38" s="279"/>
      <c r="E38" s="279"/>
      <c r="F38" s="279"/>
      <c r="G38" s="279"/>
      <c r="H38" s="279"/>
      <c r="I38" s="279"/>
      <c r="J38" s="280"/>
      <c r="K38" s="80">
        <f>SUM(K35:K37)</f>
        <v>731190</v>
      </c>
      <c r="L38" s="80">
        <f>SUM(L35:L36)</f>
        <v>0</v>
      </c>
      <c r="M38" s="80">
        <f>SUM(M35:M37)</f>
        <v>89061</v>
      </c>
      <c r="N38" s="81">
        <f>M38/(M38+K38)*100</f>
        <v>10.857774022829597</v>
      </c>
      <c r="O38" s="82">
        <f>SUM(O35:O37)</f>
        <v>3987</v>
      </c>
      <c r="P38" s="89">
        <f>SUM(P35:P37)</f>
        <v>7426</v>
      </c>
      <c r="Q38" s="89">
        <f>K38+M38+O38-P38</f>
        <v>816812</v>
      </c>
      <c r="R38" s="83">
        <f>SUM(R35:R37)</f>
        <v>270411.19999999995</v>
      </c>
      <c r="S38" s="79">
        <f>+K38/R38</f>
        <v>2.7039930298745025</v>
      </c>
      <c r="T38" s="84">
        <f>(K38+M38-P38)/R38</f>
        <v>3.0058851112675811</v>
      </c>
      <c r="U38" s="85">
        <f>Q38/R38</f>
        <v>3.0206293230457915</v>
      </c>
      <c r="V38" s="86"/>
      <c r="W38" s="206"/>
      <c r="X38" s="184"/>
      <c r="Y38" s="184"/>
      <c r="Z38" s="184"/>
      <c r="AA38" s="184"/>
    </row>
    <row r="39" spans="2:31" s="29" customFormat="1" ht="33.6" customHeight="1" x14ac:dyDescent="0.3">
      <c r="B39" s="263" t="s">
        <v>57</v>
      </c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5"/>
      <c r="W39" s="198"/>
      <c r="X39" s="184"/>
      <c r="Y39" s="184"/>
      <c r="Z39" s="184"/>
      <c r="AA39" s="184"/>
    </row>
    <row r="40" spans="2:31" s="29" customFormat="1" ht="32.4" customHeight="1" x14ac:dyDescent="0.3">
      <c r="B40" s="262" t="s">
        <v>2</v>
      </c>
      <c r="C40" s="259" t="s">
        <v>3</v>
      </c>
      <c r="D40" s="258" t="s">
        <v>4</v>
      </c>
      <c r="E40" s="258" t="s">
        <v>5</v>
      </c>
      <c r="F40" s="258" t="s">
        <v>6</v>
      </c>
      <c r="G40" s="258" t="s">
        <v>7</v>
      </c>
      <c r="H40" s="258"/>
      <c r="I40" s="258"/>
      <c r="J40" s="258"/>
      <c r="K40" s="258" t="s">
        <v>20</v>
      </c>
      <c r="L40" s="258"/>
      <c r="M40" s="258" t="s">
        <v>9</v>
      </c>
      <c r="N40" s="258"/>
      <c r="O40" s="259" t="s">
        <v>10</v>
      </c>
      <c r="P40" s="260" t="s">
        <v>49</v>
      </c>
      <c r="Q40" s="260" t="s">
        <v>31</v>
      </c>
      <c r="R40" s="259" t="s">
        <v>30</v>
      </c>
      <c r="S40" s="144" t="s">
        <v>8</v>
      </c>
      <c r="T40" s="259" t="s">
        <v>43</v>
      </c>
      <c r="U40" s="275" t="s">
        <v>11</v>
      </c>
      <c r="V40" s="274" t="s">
        <v>12</v>
      </c>
      <c r="W40" s="196"/>
      <c r="X40" s="184"/>
      <c r="Y40" s="197"/>
      <c r="Z40" s="184"/>
      <c r="AA40" s="184"/>
    </row>
    <row r="41" spans="2:31" s="29" customFormat="1" ht="55.2" customHeight="1" x14ac:dyDescent="0.3">
      <c r="B41" s="262"/>
      <c r="C41" s="259"/>
      <c r="D41" s="258"/>
      <c r="E41" s="258"/>
      <c r="F41" s="258"/>
      <c r="G41" s="143" t="s">
        <v>13</v>
      </c>
      <c r="H41" s="143" t="s">
        <v>46</v>
      </c>
      <c r="I41" s="143" t="s">
        <v>47</v>
      </c>
      <c r="J41" s="148" t="s">
        <v>14</v>
      </c>
      <c r="K41" s="144" t="s">
        <v>15</v>
      </c>
      <c r="L41" s="144" t="s">
        <v>16</v>
      </c>
      <c r="M41" s="143" t="s">
        <v>17</v>
      </c>
      <c r="N41" s="144" t="s">
        <v>18</v>
      </c>
      <c r="O41" s="259"/>
      <c r="P41" s="261"/>
      <c r="Q41" s="261"/>
      <c r="R41" s="259"/>
      <c r="S41" s="144" t="s">
        <v>22</v>
      </c>
      <c r="T41" s="259"/>
      <c r="U41" s="275"/>
      <c r="V41" s="274"/>
      <c r="W41" s="198"/>
      <c r="X41" s="184"/>
      <c r="Y41" s="184"/>
      <c r="Z41" s="184"/>
      <c r="AA41" s="184"/>
    </row>
    <row r="42" spans="2:31" s="29" customFormat="1" ht="47.4" customHeight="1" x14ac:dyDescent="0.3">
      <c r="B42" s="224">
        <v>1</v>
      </c>
      <c r="C42" s="226" t="s">
        <v>50</v>
      </c>
      <c r="D42" s="91"/>
      <c r="E42" s="91"/>
      <c r="F42" s="16"/>
      <c r="G42" s="252">
        <v>7527</v>
      </c>
      <c r="H42" s="246">
        <v>13.5</v>
      </c>
      <c r="I42" s="250">
        <v>15</v>
      </c>
      <c r="J42" s="246">
        <v>3.63</v>
      </c>
      <c r="K42" s="16">
        <f>K23+K35</f>
        <v>426043</v>
      </c>
      <c r="L42" s="144"/>
      <c r="M42" s="67">
        <f>M23+M35</f>
        <v>66824</v>
      </c>
      <c r="N42" s="2">
        <f>M42/(M42+K42)*100</f>
        <v>13.558221589191405</v>
      </c>
      <c r="O42" s="74">
        <f>O23+O35</f>
        <v>7825</v>
      </c>
      <c r="P42" s="63">
        <f>P23+P35</f>
        <v>0</v>
      </c>
      <c r="Q42" s="63">
        <f>K42+M42+O42-P42</f>
        <v>500692</v>
      </c>
      <c r="R42" s="149">
        <f>R23+R35</f>
        <v>200290.45645062972</v>
      </c>
      <c r="S42" s="17">
        <f>+K42/R42</f>
        <v>2.127125812931665</v>
      </c>
      <c r="T42" s="36">
        <f>(K42+M42-P42)/R42</f>
        <v>2.4607612800637284</v>
      </c>
      <c r="U42" s="75">
        <f>Q42/R42</f>
        <v>2.4998295419203727</v>
      </c>
      <c r="V42" s="58" t="s">
        <v>81</v>
      </c>
      <c r="W42" s="183"/>
      <c r="X42" s="184"/>
      <c r="Y42" s="184"/>
      <c r="Z42" s="184"/>
      <c r="AA42" s="184"/>
      <c r="AB42" s="189"/>
    </row>
    <row r="43" spans="2:31" s="29" customFormat="1" ht="47.4" customHeight="1" x14ac:dyDescent="0.3">
      <c r="B43" s="225"/>
      <c r="C43" s="227"/>
      <c r="D43" s="25"/>
      <c r="E43" s="25"/>
      <c r="F43" s="26"/>
      <c r="G43" s="253"/>
      <c r="H43" s="247"/>
      <c r="I43" s="251"/>
      <c r="J43" s="247"/>
      <c r="K43" s="16">
        <f>K24</f>
        <v>16319</v>
      </c>
      <c r="L43" s="144"/>
      <c r="M43" s="67">
        <f>M24</f>
        <v>2560</v>
      </c>
      <c r="N43" s="2">
        <f t="shared" ref="N43:N51" si="9">M43/(M43+K43)*100</f>
        <v>13.560040256369509</v>
      </c>
      <c r="O43" s="74">
        <v>0</v>
      </c>
      <c r="P43" s="63">
        <v>0</v>
      </c>
      <c r="Q43" s="63">
        <f t="shared" ref="Q43:Q51" si="10">K43+M43+O43-P43</f>
        <v>18879</v>
      </c>
      <c r="R43" s="221" t="s">
        <v>60</v>
      </c>
      <c r="S43" s="222"/>
      <c r="T43" s="222"/>
      <c r="U43" s="223"/>
      <c r="V43" s="58" t="s">
        <v>61</v>
      </c>
      <c r="W43" s="183"/>
      <c r="X43" s="184"/>
      <c r="Y43" s="184"/>
      <c r="Z43" s="184"/>
      <c r="AA43" s="184"/>
      <c r="AB43" s="189"/>
    </row>
    <row r="44" spans="2:31" s="29" customFormat="1" ht="39.6" customHeight="1" x14ac:dyDescent="0.3">
      <c r="B44" s="224">
        <v>2</v>
      </c>
      <c r="C44" s="226" t="s">
        <v>52</v>
      </c>
      <c r="D44" s="25"/>
      <c r="E44" s="25"/>
      <c r="F44" s="26"/>
      <c r="G44" s="252">
        <v>7360</v>
      </c>
      <c r="H44" s="246">
        <v>17.399999999999999</v>
      </c>
      <c r="I44" s="250">
        <v>16</v>
      </c>
      <c r="J44" s="246">
        <v>5.6</v>
      </c>
      <c r="K44" s="16">
        <f>K25</f>
        <v>77898</v>
      </c>
      <c r="L44" s="144"/>
      <c r="M44" s="67">
        <f>M25</f>
        <v>11994</v>
      </c>
      <c r="N44" s="2">
        <f t="shared" si="9"/>
        <v>13.342677880122814</v>
      </c>
      <c r="O44" s="59">
        <f>O25</f>
        <v>1944</v>
      </c>
      <c r="P44" s="63">
        <f>P25</f>
        <v>1329</v>
      </c>
      <c r="Q44" s="63">
        <f t="shared" si="10"/>
        <v>90507</v>
      </c>
      <c r="R44" s="63">
        <f>R25</f>
        <v>45447.745936008258</v>
      </c>
      <c r="S44" s="17">
        <f>+K44/R44</f>
        <v>1.7140123980996249</v>
      </c>
      <c r="T44" s="36">
        <f>(K44+M44-P44)/R44</f>
        <v>1.9486775015134803</v>
      </c>
      <c r="U44" s="75">
        <f>Q44/R44</f>
        <v>1.9914519001104363</v>
      </c>
      <c r="V44" s="58" t="s">
        <v>55</v>
      </c>
      <c r="W44" s="183"/>
      <c r="X44" s="184"/>
      <c r="Y44" s="184"/>
      <c r="Z44" s="184"/>
      <c r="AA44" s="184"/>
      <c r="AB44" s="189"/>
      <c r="AC44" s="201"/>
      <c r="AD44" s="201"/>
      <c r="AE44" s="201"/>
    </row>
    <row r="45" spans="2:31" s="29" customFormat="1" ht="39.6" customHeight="1" x14ac:dyDescent="0.3">
      <c r="B45" s="225"/>
      <c r="C45" s="254"/>
      <c r="D45" s="25"/>
      <c r="E45" s="25"/>
      <c r="F45" s="26"/>
      <c r="G45" s="255"/>
      <c r="H45" s="256"/>
      <c r="I45" s="257"/>
      <c r="J45" s="256"/>
      <c r="K45" s="98">
        <f>K26</f>
        <v>387</v>
      </c>
      <c r="L45" s="145"/>
      <c r="M45" s="71">
        <f>M26</f>
        <v>60</v>
      </c>
      <c r="N45" s="2">
        <f t="shared" si="9"/>
        <v>13.422818791946309</v>
      </c>
      <c r="O45" s="96">
        <f>O26</f>
        <v>0</v>
      </c>
      <c r="P45" s="63">
        <f>P26</f>
        <v>0</v>
      </c>
      <c r="Q45" s="63">
        <f t="shared" si="10"/>
        <v>447</v>
      </c>
      <c r="R45" s="221" t="s">
        <v>60</v>
      </c>
      <c r="S45" s="222"/>
      <c r="T45" s="222"/>
      <c r="U45" s="223"/>
      <c r="V45" s="58" t="s">
        <v>62</v>
      </c>
      <c r="W45" s="183"/>
      <c r="X45" s="184"/>
      <c r="Y45" s="184"/>
      <c r="Z45" s="184"/>
      <c r="AA45" s="184"/>
      <c r="AB45" s="189"/>
      <c r="AC45" s="201"/>
      <c r="AD45" s="201"/>
      <c r="AE45" s="201"/>
    </row>
    <row r="46" spans="2:31" s="29" customFormat="1" ht="39.6" customHeight="1" x14ac:dyDescent="0.3">
      <c r="B46" s="242">
        <v>3</v>
      </c>
      <c r="C46" s="244" t="s">
        <v>66</v>
      </c>
      <c r="D46" s="91"/>
      <c r="E46" s="91"/>
      <c r="F46" s="16"/>
      <c r="G46" s="245">
        <v>7299</v>
      </c>
      <c r="H46" s="241">
        <v>19.399999999999999</v>
      </c>
      <c r="I46" s="240">
        <v>16</v>
      </c>
      <c r="J46" s="241">
        <v>4.5999999999999996</v>
      </c>
      <c r="K46" s="16">
        <f>K27+K36</f>
        <v>225433</v>
      </c>
      <c r="L46" s="145"/>
      <c r="M46" s="71">
        <f>M27+M36</f>
        <v>28831</v>
      </c>
      <c r="N46" s="2">
        <f t="shared" si="9"/>
        <v>11.339001982191737</v>
      </c>
      <c r="O46" s="72">
        <f>O27+O36</f>
        <v>0</v>
      </c>
      <c r="P46" s="63">
        <f>P27+P36</f>
        <v>8061</v>
      </c>
      <c r="Q46" s="63">
        <f t="shared" si="10"/>
        <v>246203</v>
      </c>
      <c r="R46" s="73">
        <f>R27+R36</f>
        <v>87949.414063991731</v>
      </c>
      <c r="S46" s="17">
        <f>+K46/R46</f>
        <v>2.5632120736583377</v>
      </c>
      <c r="T46" s="36">
        <f>(K46+M46-P46)/R46</f>
        <v>2.7993705543150456</v>
      </c>
      <c r="U46" s="75">
        <v>0</v>
      </c>
      <c r="V46" s="127" t="s">
        <v>83</v>
      </c>
      <c r="W46" s="183"/>
      <c r="X46" s="184"/>
      <c r="Y46" s="184"/>
      <c r="Z46" s="184"/>
      <c r="AA46" s="184"/>
      <c r="AB46" s="189"/>
      <c r="AC46" s="189"/>
    </row>
    <row r="47" spans="2:31" s="29" customFormat="1" ht="39.6" customHeight="1" x14ac:dyDescent="0.3">
      <c r="B47" s="243"/>
      <c r="C47" s="244"/>
      <c r="D47" s="91"/>
      <c r="E47" s="91"/>
      <c r="F47" s="16"/>
      <c r="G47" s="245"/>
      <c r="H47" s="241"/>
      <c r="I47" s="240"/>
      <c r="J47" s="241"/>
      <c r="K47" s="16">
        <f>K28</f>
        <v>6606</v>
      </c>
      <c r="L47" s="145"/>
      <c r="M47" s="71">
        <f>M28</f>
        <v>844</v>
      </c>
      <c r="N47" s="2">
        <f t="shared" si="9"/>
        <v>11.328859060402685</v>
      </c>
      <c r="O47" s="72">
        <v>0</v>
      </c>
      <c r="P47" s="63">
        <v>0</v>
      </c>
      <c r="Q47" s="63">
        <f t="shared" si="10"/>
        <v>7450</v>
      </c>
      <c r="R47" s="221" t="s">
        <v>60</v>
      </c>
      <c r="S47" s="222"/>
      <c r="T47" s="222"/>
      <c r="U47" s="223"/>
      <c r="V47" s="58" t="s">
        <v>61</v>
      </c>
      <c r="W47" s="183"/>
      <c r="X47" s="184"/>
      <c r="Y47" s="184"/>
      <c r="Z47" s="184"/>
      <c r="AA47" s="184"/>
      <c r="AB47" s="189"/>
      <c r="AC47" s="189"/>
    </row>
    <row r="48" spans="2:31" s="29" customFormat="1" ht="39.6" customHeight="1" x14ac:dyDescent="0.3">
      <c r="B48" s="155">
        <v>4</v>
      </c>
      <c r="C48" s="156" t="s">
        <v>80</v>
      </c>
      <c r="D48" s="25"/>
      <c r="E48" s="25"/>
      <c r="F48" s="26"/>
      <c r="G48" s="146">
        <v>7805</v>
      </c>
      <c r="H48" s="64">
        <v>13.35</v>
      </c>
      <c r="I48" s="92">
        <v>15</v>
      </c>
      <c r="J48" s="147">
        <v>2.6</v>
      </c>
      <c r="K48" s="16">
        <f>K37</f>
        <v>300361</v>
      </c>
      <c r="L48" s="145"/>
      <c r="M48" s="71">
        <f>M37</f>
        <v>27676</v>
      </c>
      <c r="N48" s="2">
        <f t="shared" si="9"/>
        <v>8.4368531598569678</v>
      </c>
      <c r="O48" s="72">
        <v>0</v>
      </c>
      <c r="P48" s="63">
        <v>0</v>
      </c>
      <c r="Q48" s="63">
        <f t="shared" si="10"/>
        <v>328037</v>
      </c>
      <c r="R48" s="1">
        <f>R37</f>
        <v>110969.58354937023</v>
      </c>
      <c r="S48" s="171">
        <f>K48/R48</f>
        <v>2.7066966495947042</v>
      </c>
      <c r="T48" s="171">
        <f>(K48+M48-P48)/R48</f>
        <v>2.9560983244931864</v>
      </c>
      <c r="U48" s="171">
        <v>0</v>
      </c>
      <c r="V48" s="127" t="s">
        <v>82</v>
      </c>
      <c r="W48" s="183"/>
      <c r="X48" s="184"/>
      <c r="Y48" s="184"/>
      <c r="Z48" s="184"/>
      <c r="AA48" s="184"/>
      <c r="AB48" s="189"/>
      <c r="AC48" s="189"/>
    </row>
    <row r="49" spans="2:29" s="29" customFormat="1" ht="39.6" customHeight="1" x14ac:dyDescent="0.3">
      <c r="B49" s="234" t="s">
        <v>63</v>
      </c>
      <c r="C49" s="235"/>
      <c r="D49" s="235"/>
      <c r="E49" s="235"/>
      <c r="F49" s="235"/>
      <c r="G49" s="235"/>
      <c r="H49" s="235"/>
      <c r="I49" s="235"/>
      <c r="J49" s="235"/>
      <c r="K49" s="110">
        <f>K43+K45+K47</f>
        <v>23312</v>
      </c>
      <c r="L49" s="110">
        <f t="shared" ref="L49" si="11">L43+L45+L47</f>
        <v>0</v>
      </c>
      <c r="M49" s="110">
        <f>M43+M45+M47</f>
        <v>3464</v>
      </c>
      <c r="N49" s="102">
        <f t="shared" si="9"/>
        <v>12.936958470271886</v>
      </c>
      <c r="O49" s="111">
        <f>O45</f>
        <v>0</v>
      </c>
      <c r="P49" s="112">
        <v>0</v>
      </c>
      <c r="Q49" s="103">
        <f t="shared" si="10"/>
        <v>26776</v>
      </c>
      <c r="R49" s="125"/>
      <c r="S49" s="104"/>
      <c r="T49" s="104"/>
      <c r="U49" s="105"/>
      <c r="V49" s="132"/>
      <c r="W49" s="202"/>
      <c r="X49" s="200"/>
      <c r="Y49" s="184"/>
      <c r="Z49" s="184"/>
      <c r="AA49" s="184"/>
      <c r="AB49" s="189"/>
      <c r="AC49" s="189"/>
    </row>
    <row r="50" spans="2:29" s="29" customFormat="1" ht="39.6" customHeight="1" x14ac:dyDescent="0.3">
      <c r="B50" s="236" t="s">
        <v>64</v>
      </c>
      <c r="C50" s="237"/>
      <c r="D50" s="237"/>
      <c r="E50" s="237"/>
      <c r="F50" s="237"/>
      <c r="G50" s="237"/>
      <c r="H50" s="237"/>
      <c r="I50" s="237"/>
      <c r="J50" s="237"/>
      <c r="K50" s="122">
        <f>K42+K44+K46+K48</f>
        <v>1029735</v>
      </c>
      <c r="L50" s="122">
        <f t="shared" ref="L50" si="12">L42+L44+L46</f>
        <v>0</v>
      </c>
      <c r="M50" s="122">
        <f>M42+M44+M46+M48</f>
        <v>135325</v>
      </c>
      <c r="N50" s="81">
        <f t="shared" si="9"/>
        <v>11.615281616397438</v>
      </c>
      <c r="O50" s="123">
        <f>O44+O42</f>
        <v>9769</v>
      </c>
      <c r="P50" s="123">
        <f>P44+P46</f>
        <v>9390</v>
      </c>
      <c r="Q50" s="89">
        <f t="shared" si="10"/>
        <v>1165439</v>
      </c>
      <c r="R50" s="124">
        <f>R42+R44+R46+R48</f>
        <v>444657.19999999995</v>
      </c>
      <c r="S50" s="126">
        <f>K50/R50</f>
        <v>2.3157951788478859</v>
      </c>
      <c r="T50" s="126">
        <f>(K50+M50-P50)/R50</f>
        <v>2.5990133523082504</v>
      </c>
      <c r="U50" s="126">
        <f>Q50/R50</f>
        <v>2.6209830853970209</v>
      </c>
      <c r="V50" s="76"/>
      <c r="W50" s="202"/>
      <c r="X50" s="200"/>
      <c r="Y50" s="184"/>
      <c r="Z50" s="184"/>
      <c r="AA50" s="184"/>
      <c r="AB50" s="189"/>
      <c r="AC50" s="189"/>
    </row>
    <row r="51" spans="2:29" s="29" customFormat="1" ht="31.95" customHeight="1" x14ac:dyDescent="0.3">
      <c r="B51" s="238" t="s">
        <v>65</v>
      </c>
      <c r="C51" s="239"/>
      <c r="D51" s="239"/>
      <c r="E51" s="239"/>
      <c r="F51" s="239"/>
      <c r="G51" s="239"/>
      <c r="H51" s="239"/>
      <c r="I51" s="239"/>
      <c r="J51" s="239"/>
      <c r="K51" s="113">
        <f>K49+K50</f>
        <v>1053047</v>
      </c>
      <c r="L51" s="113">
        <f t="shared" ref="L51" si="13">L49+L50</f>
        <v>0</v>
      </c>
      <c r="M51" s="113">
        <f>M49+M50</f>
        <v>138789</v>
      </c>
      <c r="N51" s="2">
        <f t="shared" si="9"/>
        <v>11.644974644162453</v>
      </c>
      <c r="O51" s="115">
        <f>O49+O50</f>
        <v>9769</v>
      </c>
      <c r="P51" s="115">
        <f>P49+P50</f>
        <v>9390</v>
      </c>
      <c r="Q51" s="63">
        <f t="shared" si="10"/>
        <v>1192215</v>
      </c>
      <c r="R51" s="117">
        <f>R50</f>
        <v>444657.19999999995</v>
      </c>
      <c r="S51" s="118">
        <f>+K51/R51</f>
        <v>2.3682220820893041</v>
      </c>
      <c r="T51" s="119">
        <f>(K51+M51-P51)/R51</f>
        <v>2.6592305263470379</v>
      </c>
      <c r="U51" s="120">
        <f>Q51/R51</f>
        <v>2.6812002594358084</v>
      </c>
      <c r="V51" s="121"/>
      <c r="W51" s="198"/>
      <c r="X51" s="184"/>
      <c r="Y51" s="184"/>
      <c r="Z51" s="184"/>
      <c r="AA51" s="184"/>
    </row>
    <row r="52" spans="2:29" s="29" customFormat="1" ht="44.4" customHeight="1" x14ac:dyDescent="0.3">
      <c r="B52" s="3" t="s">
        <v>59</v>
      </c>
      <c r="C52" s="87"/>
      <c r="D52" s="87"/>
      <c r="E52" s="87"/>
      <c r="F52" s="87"/>
      <c r="G52" s="87"/>
      <c r="H52" s="87"/>
      <c r="I52" s="87"/>
      <c r="J52" s="87"/>
      <c r="K52" s="131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34"/>
      <c r="W52" s="196"/>
      <c r="X52" s="184"/>
      <c r="Y52" s="184"/>
      <c r="Z52" s="184"/>
      <c r="AA52" s="184"/>
    </row>
    <row r="53" spans="2:29" s="29" customFormat="1" ht="43.2" customHeight="1" x14ac:dyDescent="0.3">
      <c r="B53" s="262" t="s">
        <v>2</v>
      </c>
      <c r="C53" s="259" t="s">
        <v>3</v>
      </c>
      <c r="D53" s="258" t="s">
        <v>4</v>
      </c>
      <c r="E53" s="258" t="s">
        <v>5</v>
      </c>
      <c r="F53" s="258" t="s">
        <v>6</v>
      </c>
      <c r="G53" s="258" t="s">
        <v>7</v>
      </c>
      <c r="H53" s="258"/>
      <c r="I53" s="258"/>
      <c r="J53" s="258"/>
      <c r="K53" s="258" t="s">
        <v>20</v>
      </c>
      <c r="L53" s="258"/>
      <c r="M53" s="258" t="s">
        <v>9</v>
      </c>
      <c r="N53" s="258"/>
      <c r="O53" s="259" t="s">
        <v>10</v>
      </c>
      <c r="P53" s="260" t="s">
        <v>49</v>
      </c>
      <c r="Q53" s="260" t="s">
        <v>48</v>
      </c>
      <c r="R53" s="259" t="s">
        <v>30</v>
      </c>
      <c r="S53" s="144" t="s">
        <v>8</v>
      </c>
      <c r="T53" s="259" t="s">
        <v>43</v>
      </c>
      <c r="U53" s="259" t="s">
        <v>11</v>
      </c>
      <c r="V53" s="274" t="s">
        <v>12</v>
      </c>
      <c r="W53" s="204"/>
      <c r="X53" s="184"/>
      <c r="Y53" s="184"/>
      <c r="Z53" s="184"/>
      <c r="AA53" s="184"/>
    </row>
    <row r="54" spans="2:29" s="29" customFormat="1" ht="57.6" customHeight="1" x14ac:dyDescent="0.3">
      <c r="B54" s="262"/>
      <c r="C54" s="259"/>
      <c r="D54" s="258"/>
      <c r="E54" s="258"/>
      <c r="F54" s="258"/>
      <c r="G54" s="143" t="s">
        <v>13</v>
      </c>
      <c r="H54" s="143" t="s">
        <v>46</v>
      </c>
      <c r="I54" s="143" t="s">
        <v>47</v>
      </c>
      <c r="J54" s="143" t="s">
        <v>14</v>
      </c>
      <c r="K54" s="144" t="s">
        <v>15</v>
      </c>
      <c r="L54" s="144" t="s">
        <v>16</v>
      </c>
      <c r="M54" s="143" t="s">
        <v>17</v>
      </c>
      <c r="N54" s="144" t="s">
        <v>18</v>
      </c>
      <c r="O54" s="259"/>
      <c r="P54" s="261"/>
      <c r="Q54" s="261"/>
      <c r="R54" s="259"/>
      <c r="S54" s="144" t="s">
        <v>22</v>
      </c>
      <c r="T54" s="259"/>
      <c r="U54" s="259"/>
      <c r="V54" s="274"/>
      <c r="W54" s="205"/>
      <c r="X54" s="184"/>
      <c r="Y54" s="184"/>
      <c r="Z54" s="184"/>
      <c r="AA54" s="184"/>
    </row>
    <row r="55" spans="2:29" s="29" customFormat="1" ht="43.95" customHeight="1" x14ac:dyDescent="0.3">
      <c r="B55" s="224">
        <v>1</v>
      </c>
      <c r="C55" s="226" t="s">
        <v>50</v>
      </c>
      <c r="D55" s="91"/>
      <c r="E55" s="91"/>
      <c r="F55" s="16"/>
      <c r="G55" s="252">
        <v>7527</v>
      </c>
      <c r="H55" s="246">
        <v>13.5</v>
      </c>
      <c r="I55" s="250">
        <v>15</v>
      </c>
      <c r="J55" s="246">
        <v>3.63</v>
      </c>
      <c r="K55" s="7">
        <f>K9+K42</f>
        <v>958658</v>
      </c>
      <c r="L55" s="144"/>
      <c r="M55" s="60">
        <f>M9+M42</f>
        <v>150364</v>
      </c>
      <c r="N55" s="17">
        <f>M55/(M55+K55)*100</f>
        <v>13.558252225835016</v>
      </c>
      <c r="O55" s="59">
        <f>O9+O42</f>
        <v>17608</v>
      </c>
      <c r="P55" s="59">
        <f>P9+P42</f>
        <v>0</v>
      </c>
      <c r="Q55" s="1">
        <f>K55+M55+O55-P55</f>
        <v>1126630</v>
      </c>
      <c r="R55" s="14">
        <f>R9+R42</f>
        <v>423599.75245062972</v>
      </c>
      <c r="S55" s="35">
        <f>K55/R55</f>
        <v>2.2631221912995123</v>
      </c>
      <c r="T55" s="35">
        <f>(K55+M55-P55)/R55</f>
        <v>2.6180893486930348</v>
      </c>
      <c r="U55" s="37">
        <f>Q55/R55</f>
        <v>2.6596568895098871</v>
      </c>
      <c r="V55" s="58" t="s">
        <v>81</v>
      </c>
      <c r="W55" s="184"/>
      <c r="X55" s="184"/>
      <c r="Y55" s="184"/>
      <c r="Z55" s="184"/>
      <c r="AA55" s="184"/>
    </row>
    <row r="56" spans="2:29" s="29" customFormat="1" ht="43.95" customHeight="1" x14ac:dyDescent="0.3">
      <c r="B56" s="225"/>
      <c r="C56" s="227"/>
      <c r="D56" s="25"/>
      <c r="E56" s="25"/>
      <c r="F56" s="26"/>
      <c r="G56" s="253"/>
      <c r="H56" s="247"/>
      <c r="I56" s="251"/>
      <c r="J56" s="247"/>
      <c r="K56" s="99">
        <f>K43+K10</f>
        <v>19932</v>
      </c>
      <c r="L56" s="69"/>
      <c r="M56" s="100">
        <f>M43+M10</f>
        <v>3127</v>
      </c>
      <c r="N56" s="17">
        <f t="shared" ref="N56:N62" si="14">M56/(M56+K56)*100</f>
        <v>13.560865605620364</v>
      </c>
      <c r="O56" s="101">
        <v>0</v>
      </c>
      <c r="P56" s="101">
        <v>0</v>
      </c>
      <c r="Q56" s="1">
        <f t="shared" ref="Q56:Q62" si="15">K56+M56+O56-P56</f>
        <v>23059</v>
      </c>
      <c r="R56" s="221" t="s">
        <v>60</v>
      </c>
      <c r="S56" s="222"/>
      <c r="T56" s="222"/>
      <c r="U56" s="223"/>
      <c r="V56" s="58" t="s">
        <v>61</v>
      </c>
      <c r="W56" s="184"/>
      <c r="X56" s="184"/>
      <c r="Y56" s="184"/>
      <c r="Z56" s="184"/>
      <c r="AA56" s="184"/>
    </row>
    <row r="57" spans="2:29" s="29" customFormat="1" ht="33.6" customHeight="1" x14ac:dyDescent="0.3">
      <c r="B57" s="224">
        <v>2</v>
      </c>
      <c r="C57" s="226" t="s">
        <v>52</v>
      </c>
      <c r="D57" s="25"/>
      <c r="E57" s="25"/>
      <c r="F57" s="26"/>
      <c r="G57" s="252">
        <v>7360</v>
      </c>
      <c r="H57" s="246">
        <v>17.399999999999999</v>
      </c>
      <c r="I57" s="250">
        <v>16</v>
      </c>
      <c r="J57" s="246">
        <v>5.6</v>
      </c>
      <c r="K57" s="4">
        <f>K11+K44</f>
        <v>197489</v>
      </c>
      <c r="L57" s="5"/>
      <c r="M57" s="6">
        <f>M11+M44</f>
        <v>30407</v>
      </c>
      <c r="N57" s="17">
        <f t="shared" si="14"/>
        <v>13.342489556639872</v>
      </c>
      <c r="O57" s="6">
        <v>4913</v>
      </c>
      <c r="P57" s="6">
        <f>P11+P44</f>
        <v>3462</v>
      </c>
      <c r="Q57" s="1">
        <f t="shared" si="15"/>
        <v>229347</v>
      </c>
      <c r="R57" s="78">
        <f>R11+R44</f>
        <v>96272.402648879535</v>
      </c>
      <c r="S57" s="35">
        <f>K57/R57</f>
        <v>2.051356303220905</v>
      </c>
      <c r="T57" s="35">
        <f>(K57+M57-P57)/R57</f>
        <v>2.3312392110805189</v>
      </c>
      <c r="U57" s="37">
        <f>Q57/R57</f>
        <v>2.3822714889173824</v>
      </c>
      <c r="V57" s="58" t="s">
        <v>55</v>
      </c>
      <c r="W57" s="183"/>
      <c r="X57" s="184"/>
      <c r="Y57" s="184"/>
      <c r="Z57" s="184"/>
      <c r="AA57" s="184"/>
    </row>
    <row r="58" spans="2:29" s="29" customFormat="1" ht="33.6" customHeight="1" x14ac:dyDescent="0.3">
      <c r="B58" s="225"/>
      <c r="C58" s="227"/>
      <c r="D58" s="25"/>
      <c r="E58" s="25"/>
      <c r="F58" s="26"/>
      <c r="G58" s="253"/>
      <c r="H58" s="247"/>
      <c r="I58" s="251"/>
      <c r="J58" s="247"/>
      <c r="K58" s="4">
        <f>K45</f>
        <v>387</v>
      </c>
      <c r="L58" s="5"/>
      <c r="M58" s="6">
        <f>M45</f>
        <v>60</v>
      </c>
      <c r="N58" s="17">
        <f t="shared" si="14"/>
        <v>13.422818791946309</v>
      </c>
      <c r="O58" s="6">
        <f>O45</f>
        <v>0</v>
      </c>
      <c r="P58" s="6">
        <f>P45</f>
        <v>0</v>
      </c>
      <c r="Q58" s="1">
        <f t="shared" si="15"/>
        <v>447</v>
      </c>
      <c r="R58" s="221" t="s">
        <v>60</v>
      </c>
      <c r="S58" s="222"/>
      <c r="T58" s="222"/>
      <c r="U58" s="223"/>
      <c r="V58" s="58" t="s">
        <v>62</v>
      </c>
      <c r="W58" s="183"/>
      <c r="X58" s="184"/>
      <c r="Y58" s="184"/>
      <c r="Z58" s="184"/>
      <c r="AA58" s="184"/>
    </row>
    <row r="59" spans="2:29" s="29" customFormat="1" ht="36" customHeight="1" x14ac:dyDescent="0.3">
      <c r="B59" s="224">
        <v>3</v>
      </c>
      <c r="C59" s="226" t="s">
        <v>66</v>
      </c>
      <c r="D59" s="94"/>
      <c r="E59" s="94"/>
      <c r="F59" s="95"/>
      <c r="G59" s="252">
        <v>7299</v>
      </c>
      <c r="H59" s="246">
        <v>19.399999999999999</v>
      </c>
      <c r="I59" s="250">
        <v>16</v>
      </c>
      <c r="J59" s="246">
        <v>4.5999999999999996</v>
      </c>
      <c r="K59" s="4">
        <f>K12+K46</f>
        <v>446407</v>
      </c>
      <c r="L59" s="5"/>
      <c r="M59" s="6">
        <f>M12+M46</f>
        <v>57092</v>
      </c>
      <c r="N59" s="17">
        <f t="shared" si="14"/>
        <v>11.339049332769282</v>
      </c>
      <c r="O59" s="77">
        <f>O12+O46</f>
        <v>0</v>
      </c>
      <c r="P59" s="6">
        <f>P12+P46</f>
        <v>15846</v>
      </c>
      <c r="Q59" s="1">
        <f t="shared" si="15"/>
        <v>487653</v>
      </c>
      <c r="R59" s="78">
        <f>R12+R46</f>
        <v>182545.02935112041</v>
      </c>
      <c r="S59" s="35">
        <f>K59/R59</f>
        <v>2.4454623694044733</v>
      </c>
      <c r="T59" s="35">
        <f>(K59+M59-P59)/R59</f>
        <v>2.6714120988855452</v>
      </c>
      <c r="U59" s="37">
        <v>0</v>
      </c>
      <c r="V59" s="127" t="s">
        <v>83</v>
      </c>
      <c r="W59" s="183"/>
      <c r="X59" s="184"/>
      <c r="Y59" s="184"/>
      <c r="Z59" s="184"/>
      <c r="AA59" s="184"/>
    </row>
    <row r="60" spans="2:29" s="29" customFormat="1" ht="36" customHeight="1" x14ac:dyDescent="0.3">
      <c r="B60" s="225"/>
      <c r="C60" s="227"/>
      <c r="D60" s="25"/>
      <c r="E60" s="25"/>
      <c r="F60" s="26"/>
      <c r="G60" s="253"/>
      <c r="H60" s="247"/>
      <c r="I60" s="251"/>
      <c r="J60" s="247"/>
      <c r="K60" s="4">
        <f>K47+K13</f>
        <v>9731</v>
      </c>
      <c r="L60" s="5"/>
      <c r="M60" s="6">
        <f>M47+M13</f>
        <v>1244</v>
      </c>
      <c r="N60" s="17">
        <f t="shared" si="14"/>
        <v>11.334851936218678</v>
      </c>
      <c r="O60" s="77">
        <v>0</v>
      </c>
      <c r="P60" s="6">
        <v>0</v>
      </c>
      <c r="Q60" s="1">
        <f t="shared" si="15"/>
        <v>10975</v>
      </c>
      <c r="R60" s="221" t="s">
        <v>60</v>
      </c>
      <c r="S60" s="222"/>
      <c r="T60" s="222"/>
      <c r="U60" s="223"/>
      <c r="V60" s="58" t="s">
        <v>61</v>
      </c>
      <c r="W60" s="206"/>
      <c r="X60" s="184"/>
      <c r="Y60" s="184"/>
      <c r="Z60" s="184"/>
      <c r="AA60" s="184"/>
    </row>
    <row r="61" spans="2:29" s="29" customFormat="1" ht="36" customHeight="1" x14ac:dyDescent="0.3">
      <c r="B61" s="224">
        <v>4</v>
      </c>
      <c r="C61" s="226" t="s">
        <v>80</v>
      </c>
      <c r="D61" s="25"/>
      <c r="E61" s="25"/>
      <c r="F61" s="26"/>
      <c r="G61" s="228">
        <v>7805</v>
      </c>
      <c r="H61" s="230">
        <v>13.35</v>
      </c>
      <c r="I61" s="232">
        <v>15</v>
      </c>
      <c r="J61" s="230">
        <v>2.6</v>
      </c>
      <c r="K61" s="4">
        <f>K14+K48</f>
        <v>579298</v>
      </c>
      <c r="L61" s="5"/>
      <c r="M61" s="6">
        <f>M14+M48</f>
        <v>53378</v>
      </c>
      <c r="N61" s="17">
        <f t="shared" si="14"/>
        <v>8.4368618376546607</v>
      </c>
      <c r="O61" s="77">
        <v>0</v>
      </c>
      <c r="P61" s="6">
        <v>0</v>
      </c>
      <c r="Q61" s="1">
        <f t="shared" si="15"/>
        <v>632676</v>
      </c>
      <c r="R61" s="1">
        <f>R14+R48</f>
        <v>226974.25554937022</v>
      </c>
      <c r="S61" s="171">
        <f>K61/R61</f>
        <v>2.5522630247111624</v>
      </c>
      <c r="T61" s="171">
        <f>(K61+M61-P61)/R61</f>
        <v>2.7874350704165378</v>
      </c>
      <c r="U61" s="171">
        <v>0</v>
      </c>
      <c r="V61" s="127" t="s">
        <v>82</v>
      </c>
      <c r="W61" s="206"/>
      <c r="X61" s="184"/>
      <c r="Y61" s="184"/>
      <c r="Z61" s="184"/>
      <c r="AA61" s="184"/>
    </row>
    <row r="62" spans="2:29" s="29" customFormat="1" ht="36" customHeight="1" x14ac:dyDescent="0.3">
      <c r="B62" s="225"/>
      <c r="C62" s="227"/>
      <c r="D62" s="25"/>
      <c r="E62" s="25"/>
      <c r="F62" s="26"/>
      <c r="G62" s="229"/>
      <c r="H62" s="231"/>
      <c r="I62" s="233"/>
      <c r="J62" s="231"/>
      <c r="K62" s="4">
        <f>K15</f>
        <v>3678</v>
      </c>
      <c r="L62" s="5"/>
      <c r="M62" s="6">
        <f>M15</f>
        <v>338</v>
      </c>
      <c r="N62" s="17">
        <f t="shared" si="14"/>
        <v>8.4163346613545809</v>
      </c>
      <c r="O62" s="77">
        <v>0</v>
      </c>
      <c r="P62" s="6">
        <v>0</v>
      </c>
      <c r="Q62" s="1">
        <f t="shared" si="15"/>
        <v>4016</v>
      </c>
      <c r="R62" s="221" t="s">
        <v>60</v>
      </c>
      <c r="S62" s="222"/>
      <c r="T62" s="222"/>
      <c r="U62" s="223"/>
      <c r="V62" s="58" t="s">
        <v>84</v>
      </c>
      <c r="W62" s="206"/>
      <c r="X62" s="184"/>
      <c r="Y62" s="184"/>
      <c r="Z62" s="184"/>
      <c r="AA62" s="184"/>
    </row>
    <row r="63" spans="2:29" s="29" customFormat="1" ht="39.6" customHeight="1" x14ac:dyDescent="0.3">
      <c r="B63" s="234" t="s">
        <v>63</v>
      </c>
      <c r="C63" s="235"/>
      <c r="D63" s="235"/>
      <c r="E63" s="235"/>
      <c r="F63" s="235"/>
      <c r="G63" s="235"/>
      <c r="H63" s="235"/>
      <c r="I63" s="235"/>
      <c r="J63" s="235"/>
      <c r="K63" s="110">
        <f>K56+K58+K60+K62</f>
        <v>33728</v>
      </c>
      <c r="L63" s="110">
        <f t="shared" ref="L63" si="16">L56+L58+L60</f>
        <v>0</v>
      </c>
      <c r="M63" s="110">
        <f>M56+M58+M60+M62</f>
        <v>4769</v>
      </c>
      <c r="N63" s="128">
        <f t="shared" ref="N63:N65" si="17">M63/(M63+K63)*100</f>
        <v>12.387978284022132</v>
      </c>
      <c r="O63" s="112">
        <f>O58</f>
        <v>0</v>
      </c>
      <c r="P63" s="112">
        <v>0</v>
      </c>
      <c r="Q63" s="172">
        <f t="shared" ref="Q63:Q65" si="18">K63+M63+O63-P63</f>
        <v>38497</v>
      </c>
      <c r="R63" s="125"/>
      <c r="S63" s="104"/>
      <c r="T63" s="104"/>
      <c r="U63" s="105"/>
      <c r="V63" s="132"/>
      <c r="W63" s="202"/>
      <c r="X63" s="200"/>
      <c r="Y63" s="184"/>
      <c r="Z63" s="184"/>
      <c r="AA63" s="184"/>
      <c r="AB63" s="189"/>
      <c r="AC63" s="189"/>
    </row>
    <row r="64" spans="2:29" s="29" customFormat="1" ht="39.6" customHeight="1" x14ac:dyDescent="0.3">
      <c r="B64" s="236" t="s">
        <v>64</v>
      </c>
      <c r="C64" s="237"/>
      <c r="D64" s="237"/>
      <c r="E64" s="237"/>
      <c r="F64" s="237"/>
      <c r="G64" s="237"/>
      <c r="H64" s="237"/>
      <c r="I64" s="237"/>
      <c r="J64" s="237"/>
      <c r="K64" s="122">
        <f>K55+K57+K59+K61</f>
        <v>2181852</v>
      </c>
      <c r="L64" s="122">
        <f t="shared" ref="L64" si="19">L55+L57+L59</f>
        <v>0</v>
      </c>
      <c r="M64" s="122">
        <f>M55+M57+M59+M61</f>
        <v>291241</v>
      </c>
      <c r="N64" s="79">
        <f t="shared" si="17"/>
        <v>11.776386896893889</v>
      </c>
      <c r="O64" s="123">
        <f>O57+O55</f>
        <v>22521</v>
      </c>
      <c r="P64" s="123">
        <f>P57+P59</f>
        <v>19308</v>
      </c>
      <c r="Q64" s="124">
        <f>K64+M64+O64-P64</f>
        <v>2476306</v>
      </c>
      <c r="R64" s="124">
        <f>R55+R57+R59+R61</f>
        <v>929391.43999999983</v>
      </c>
      <c r="S64" s="126">
        <f>K64/R64</f>
        <v>2.3476136169276538</v>
      </c>
      <c r="T64" s="126">
        <f>(K64+M64-P64)/R64</f>
        <v>2.6402061546854796</v>
      </c>
      <c r="U64" s="126">
        <f>Q64/R64</f>
        <v>2.6644381402953319</v>
      </c>
      <c r="V64" s="76"/>
      <c r="W64" s="202"/>
      <c r="X64" s="200"/>
      <c r="Y64" s="184"/>
      <c r="Z64" s="184"/>
      <c r="AA64" s="184"/>
      <c r="AB64" s="189"/>
      <c r="AC64" s="189"/>
    </row>
    <row r="65" spans="2:27" s="29" customFormat="1" ht="30.6" customHeight="1" thickBot="1" x14ac:dyDescent="0.35">
      <c r="B65" s="248" t="s">
        <v>65</v>
      </c>
      <c r="C65" s="249"/>
      <c r="D65" s="249"/>
      <c r="E65" s="249"/>
      <c r="F65" s="249"/>
      <c r="G65" s="249"/>
      <c r="H65" s="249"/>
      <c r="I65" s="249"/>
      <c r="J65" s="249"/>
      <c r="K65" s="133">
        <f>K63+K64</f>
        <v>2215580</v>
      </c>
      <c r="L65" s="133">
        <f t="shared" ref="L65" si="20">L63+L64</f>
        <v>0</v>
      </c>
      <c r="M65" s="133">
        <f>M63+M64</f>
        <v>296010</v>
      </c>
      <c r="N65" s="134">
        <f t="shared" si="17"/>
        <v>11.785761211025685</v>
      </c>
      <c r="O65" s="135">
        <f>O63+O64</f>
        <v>22521</v>
      </c>
      <c r="P65" s="135">
        <f>P63+P64</f>
        <v>19308</v>
      </c>
      <c r="Q65" s="220">
        <f t="shared" si="18"/>
        <v>2514803</v>
      </c>
      <c r="R65" s="136">
        <f>R64</f>
        <v>929391.43999999983</v>
      </c>
      <c r="S65" s="137">
        <f>+K65/R65</f>
        <v>2.3839040307924511</v>
      </c>
      <c r="T65" s="138">
        <f>(K65+M65-P65)/R65</f>
        <v>2.6816278832953317</v>
      </c>
      <c r="U65" s="139">
        <f>Q65/R65</f>
        <v>2.7058598689051845</v>
      </c>
      <c r="V65" s="140"/>
      <c r="W65" s="198"/>
      <c r="X65" s="184"/>
      <c r="Y65" s="184"/>
      <c r="Z65" s="184"/>
      <c r="AA65" s="184"/>
    </row>
    <row r="66" spans="2:27" s="24" customFormat="1" ht="40.950000000000003" customHeight="1" x14ac:dyDescent="0.45">
      <c r="B66" s="52" t="s">
        <v>23</v>
      </c>
      <c r="C66" s="53"/>
      <c r="D66" s="53"/>
      <c r="E66" s="53"/>
      <c r="F66" s="53"/>
      <c r="G66" s="53"/>
      <c r="H66" s="53"/>
      <c r="I66" s="53"/>
      <c r="J66" s="53"/>
      <c r="K66" s="54"/>
      <c r="L66" s="54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181"/>
      <c r="X66" s="207"/>
      <c r="Y66" s="181"/>
      <c r="Z66" s="181"/>
      <c r="AA66" s="181"/>
    </row>
    <row r="67" spans="2:27" s="38" customFormat="1" ht="48.6" customHeight="1" x14ac:dyDescent="0.4">
      <c r="B67" s="272" t="s">
        <v>85</v>
      </c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08"/>
      <c r="X67" s="209"/>
      <c r="Y67" s="209"/>
      <c r="Z67" s="209"/>
      <c r="AA67" s="209"/>
    </row>
    <row r="68" spans="2:27" s="24" customFormat="1" ht="48.6" customHeight="1" x14ac:dyDescent="0.4">
      <c r="B68" s="272" t="s">
        <v>58</v>
      </c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180"/>
      <c r="X68" s="181"/>
      <c r="Y68" s="181"/>
      <c r="Z68" s="210"/>
      <c r="AA68" s="181"/>
    </row>
    <row r="69" spans="2:27" s="24" customFormat="1" ht="51" customHeight="1" x14ac:dyDescent="0.4">
      <c r="B69" s="272" t="s">
        <v>78</v>
      </c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180"/>
      <c r="X69" s="210"/>
      <c r="Y69" s="181"/>
      <c r="Z69" s="181"/>
      <c r="AA69" s="181"/>
    </row>
    <row r="70" spans="2:27" s="24" customFormat="1" ht="51" customHeight="1" x14ac:dyDescent="0.4">
      <c r="B70" s="272" t="s">
        <v>79</v>
      </c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180"/>
      <c r="X70" s="210"/>
      <c r="Y70" s="181"/>
      <c r="Z70" s="181"/>
      <c r="AA70" s="181"/>
    </row>
    <row r="71" spans="2:27" s="24" customFormat="1" ht="31.2" customHeight="1" x14ac:dyDescent="0.4">
      <c r="B71" s="272" t="s">
        <v>86</v>
      </c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56"/>
      <c r="X71" s="181"/>
      <c r="Y71" s="181"/>
      <c r="Z71" s="181"/>
      <c r="AA71" s="181"/>
    </row>
    <row r="72" spans="2:27" s="24" customFormat="1" ht="27" customHeight="1" x14ac:dyDescent="0.4">
      <c r="B72" s="268" t="s">
        <v>77</v>
      </c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57"/>
      <c r="W72" s="180"/>
      <c r="X72" s="181"/>
      <c r="Y72" s="181"/>
      <c r="Z72" s="181"/>
      <c r="AA72" s="181"/>
    </row>
    <row r="73" spans="2:27" s="24" customFormat="1" ht="54.6" customHeight="1" x14ac:dyDescent="0.4">
      <c r="B73" s="272" t="s">
        <v>67</v>
      </c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93"/>
      <c r="W73" s="211"/>
      <c r="X73" s="212"/>
      <c r="Y73" s="212"/>
      <c r="Z73" s="181"/>
      <c r="AA73" s="181"/>
    </row>
    <row r="74" spans="2:27" s="24" customFormat="1" ht="55.95" customHeight="1" x14ac:dyDescent="0.4">
      <c r="B74" s="272" t="s">
        <v>68</v>
      </c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93"/>
      <c r="W74" s="212"/>
      <c r="X74" s="212"/>
      <c r="Y74" s="212"/>
      <c r="Z74" s="181"/>
      <c r="AA74" s="181"/>
    </row>
    <row r="75" spans="2:27" s="24" customFormat="1" ht="55.95" customHeight="1" x14ac:dyDescent="0.4">
      <c r="B75" s="272" t="s">
        <v>69</v>
      </c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93"/>
      <c r="W75" s="212"/>
      <c r="X75" s="212"/>
      <c r="Y75" s="212"/>
      <c r="Z75" s="181"/>
      <c r="AA75" s="181"/>
    </row>
    <row r="76" spans="2:27" s="24" customFormat="1" ht="55.95" customHeight="1" x14ac:dyDescent="0.4">
      <c r="B76" s="272" t="s">
        <v>71</v>
      </c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93"/>
      <c r="W76" s="212"/>
      <c r="X76" s="212"/>
      <c r="Y76" s="212"/>
      <c r="Z76" s="181"/>
      <c r="AA76" s="181"/>
    </row>
    <row r="77" spans="2:27" s="24" customFormat="1" ht="55.95" customHeight="1" x14ac:dyDescent="0.4">
      <c r="B77" s="272" t="s">
        <v>72</v>
      </c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93"/>
      <c r="W77" s="212"/>
      <c r="X77" s="212"/>
      <c r="Y77" s="212"/>
      <c r="Z77" s="181"/>
      <c r="AA77" s="181"/>
    </row>
    <row r="78" spans="2:27" s="24" customFormat="1" ht="55.95" customHeight="1" x14ac:dyDescent="0.4">
      <c r="B78" s="272" t="s">
        <v>73</v>
      </c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93"/>
      <c r="W78" s="212"/>
      <c r="X78" s="212"/>
      <c r="Y78" s="212"/>
      <c r="Z78" s="181"/>
      <c r="AA78" s="181"/>
    </row>
    <row r="79" spans="2:27" s="24" customFormat="1" ht="55.95" customHeight="1" x14ac:dyDescent="0.4">
      <c r="B79" s="272" t="s">
        <v>74</v>
      </c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93"/>
      <c r="W79" s="212"/>
      <c r="X79" s="212"/>
      <c r="Y79" s="212"/>
      <c r="Z79" s="181"/>
      <c r="AA79" s="181"/>
    </row>
    <row r="80" spans="2:27" s="24" customFormat="1" ht="55.95" customHeight="1" x14ac:dyDescent="0.4">
      <c r="B80" s="272" t="s">
        <v>76</v>
      </c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93"/>
      <c r="W80" s="212"/>
      <c r="X80" s="212"/>
      <c r="Y80" s="212"/>
      <c r="Z80" s="181"/>
      <c r="AA80" s="181"/>
    </row>
    <row r="81" spans="2:27" s="38" customFormat="1" ht="27" customHeight="1" x14ac:dyDescent="0.4">
      <c r="B81" s="152" t="s">
        <v>44</v>
      </c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273"/>
      <c r="U81" s="273"/>
      <c r="V81" s="273"/>
      <c r="X81" s="209"/>
      <c r="Y81" s="209"/>
      <c r="Z81" s="209"/>
      <c r="AA81" s="209"/>
    </row>
    <row r="82" spans="2:27" s="38" customFormat="1" ht="28.95" customHeight="1" x14ac:dyDescent="0.4"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273" t="s">
        <v>75</v>
      </c>
      <c r="U82" s="273"/>
      <c r="V82" s="273"/>
      <c r="X82" s="209"/>
      <c r="Y82" s="209"/>
      <c r="Z82" s="209"/>
      <c r="AA82" s="209"/>
    </row>
    <row r="83" spans="2:27" s="18" customFormat="1" ht="35.4" customHeight="1" x14ac:dyDescent="0.4">
      <c r="C83" s="153" t="s">
        <v>33</v>
      </c>
      <c r="D83" s="23" t="s">
        <v>24</v>
      </c>
      <c r="G83" s="269" t="s">
        <v>28</v>
      </c>
      <c r="H83" s="269"/>
      <c r="I83" s="269"/>
      <c r="J83" s="269"/>
      <c r="M83" s="270" t="s">
        <v>29</v>
      </c>
      <c r="N83" s="270"/>
      <c r="O83" s="269" t="s">
        <v>32</v>
      </c>
      <c r="P83" s="269"/>
      <c r="Q83" s="269"/>
      <c r="R83" s="269"/>
      <c r="S83" s="271" t="s">
        <v>53</v>
      </c>
      <c r="T83" s="271"/>
      <c r="U83" s="271"/>
      <c r="V83" s="153" t="s">
        <v>54</v>
      </c>
      <c r="X83" s="213"/>
      <c r="Y83" s="213"/>
      <c r="Z83" s="213"/>
      <c r="AA83" s="213"/>
    </row>
    <row r="84" spans="2:27" s="18" customFormat="1" ht="21" x14ac:dyDescent="0.4">
      <c r="S84" s="19"/>
      <c r="V84" s="39"/>
      <c r="X84" s="213"/>
      <c r="Y84" s="213"/>
      <c r="Z84" s="213"/>
      <c r="AA84" s="213"/>
    </row>
    <row r="85" spans="2:27" s="18" customFormat="1" ht="21" x14ac:dyDescent="0.4">
      <c r="L85" s="23"/>
      <c r="R85" s="20"/>
      <c r="S85" s="23"/>
      <c r="X85" s="213"/>
      <c r="Y85" s="213"/>
      <c r="Z85" s="213"/>
      <c r="AA85" s="213"/>
    </row>
    <row r="86" spans="2:27" s="18" customFormat="1" ht="15.75" customHeight="1" x14ac:dyDescent="0.4">
      <c r="B86" s="40"/>
      <c r="M86" s="23"/>
      <c r="N86" s="23"/>
      <c r="O86" s="41"/>
      <c r="P86" s="41"/>
      <c r="Q86" s="41"/>
      <c r="T86" s="41"/>
      <c r="X86" s="213"/>
      <c r="Y86" s="213"/>
      <c r="Z86" s="213"/>
      <c r="AA86" s="213"/>
    </row>
    <row r="87" spans="2:27" s="18" customFormat="1" ht="15.75" customHeight="1" x14ac:dyDescent="0.4">
      <c r="X87" s="213"/>
      <c r="Y87" s="213"/>
      <c r="Z87" s="213"/>
      <c r="AA87" s="213"/>
    </row>
    <row r="88" spans="2:27" s="18" customFormat="1" ht="15.75" customHeight="1" x14ac:dyDescent="0.4">
      <c r="X88" s="213"/>
      <c r="Y88" s="213"/>
      <c r="Z88" s="213"/>
      <c r="AA88" s="213"/>
    </row>
    <row r="89" spans="2:27" s="18" customFormat="1" ht="15.75" customHeight="1" x14ac:dyDescent="0.4">
      <c r="X89" s="213"/>
      <c r="Y89" s="213"/>
      <c r="Z89" s="213"/>
      <c r="AA89" s="213"/>
    </row>
    <row r="90" spans="2:27" s="18" customFormat="1" ht="15.75" customHeight="1" x14ac:dyDescent="0.4">
      <c r="R90" s="21"/>
      <c r="S90" s="21"/>
      <c r="X90" s="213"/>
      <c r="Y90" s="213"/>
      <c r="Z90" s="213"/>
      <c r="AA90" s="213"/>
    </row>
    <row r="91" spans="2:27" s="18" customFormat="1" ht="21" x14ac:dyDescent="0.4">
      <c r="X91" s="213"/>
      <c r="Y91" s="213"/>
      <c r="Z91" s="213"/>
      <c r="AA91" s="213"/>
    </row>
    <row r="92" spans="2:27" s="18" customFormat="1" ht="30.6" customHeight="1" x14ac:dyDescent="0.4">
      <c r="X92" s="213"/>
      <c r="Y92" s="213"/>
      <c r="Z92" s="213"/>
      <c r="AA92" s="213"/>
    </row>
    <row r="93" spans="2:27" s="18" customFormat="1" ht="21" x14ac:dyDescent="0.4">
      <c r="X93" s="213"/>
      <c r="Y93" s="213"/>
      <c r="Z93" s="213"/>
      <c r="AA93" s="213"/>
    </row>
    <row r="94" spans="2:27" s="18" customFormat="1" ht="21" x14ac:dyDescent="0.4">
      <c r="X94" s="213"/>
      <c r="Y94" s="213"/>
      <c r="Z94" s="213"/>
      <c r="AA94" s="213"/>
    </row>
    <row r="95" spans="2:27" s="18" customFormat="1" ht="21" x14ac:dyDescent="0.4">
      <c r="X95" s="213"/>
      <c r="Y95" s="213"/>
      <c r="Z95" s="213"/>
      <c r="AA95" s="213"/>
    </row>
    <row r="96" spans="2:27" s="18" customFormat="1" ht="21" x14ac:dyDescent="0.4">
      <c r="X96" s="213"/>
      <c r="Y96" s="213"/>
      <c r="Z96" s="213"/>
      <c r="AA96" s="213"/>
    </row>
    <row r="97" spans="24:27" s="18" customFormat="1" ht="21" x14ac:dyDescent="0.4">
      <c r="X97" s="213"/>
      <c r="Y97" s="213"/>
      <c r="Z97" s="213"/>
      <c r="AA97" s="213"/>
    </row>
    <row r="98" spans="24:27" s="18" customFormat="1" ht="21" x14ac:dyDescent="0.4">
      <c r="X98" s="213"/>
      <c r="Y98" s="213"/>
      <c r="Z98" s="213"/>
      <c r="AA98" s="213"/>
    </row>
    <row r="99" spans="24:27" s="18" customFormat="1" ht="21" x14ac:dyDescent="0.4">
      <c r="X99" s="213"/>
      <c r="Y99" s="213"/>
      <c r="Z99" s="213"/>
      <c r="AA99" s="213"/>
    </row>
    <row r="100" spans="24:27" s="18" customFormat="1" ht="21" x14ac:dyDescent="0.4">
      <c r="X100" s="213"/>
      <c r="Y100" s="213"/>
      <c r="Z100" s="213"/>
      <c r="AA100" s="213"/>
    </row>
    <row r="101" spans="24:27" s="18" customFormat="1" ht="21" x14ac:dyDescent="0.4">
      <c r="X101" s="213"/>
      <c r="Y101" s="213"/>
      <c r="Z101" s="213"/>
      <c r="AA101" s="213"/>
    </row>
    <row r="102" spans="24:27" s="18" customFormat="1" ht="21" x14ac:dyDescent="0.4">
      <c r="X102" s="213"/>
      <c r="Y102" s="213"/>
      <c r="Z102" s="213"/>
      <c r="AA102" s="213"/>
    </row>
    <row r="103" spans="24:27" s="18" customFormat="1" ht="21" x14ac:dyDescent="0.4">
      <c r="X103" s="213"/>
      <c r="Y103" s="213"/>
      <c r="Z103" s="213"/>
      <c r="AA103" s="213"/>
    </row>
    <row r="104" spans="24:27" s="18" customFormat="1" ht="21" x14ac:dyDescent="0.4">
      <c r="X104" s="213"/>
      <c r="Y104" s="213"/>
      <c r="Z104" s="213"/>
      <c r="AA104" s="213"/>
    </row>
    <row r="105" spans="24:27" s="18" customFormat="1" ht="21" x14ac:dyDescent="0.4">
      <c r="X105" s="213"/>
      <c r="Y105" s="213"/>
      <c r="Z105" s="213"/>
      <c r="AA105" s="213"/>
    </row>
    <row r="106" spans="24:27" s="18" customFormat="1" ht="21" x14ac:dyDescent="0.4">
      <c r="X106" s="213"/>
      <c r="Y106" s="213"/>
      <c r="Z106" s="213"/>
      <c r="AA106" s="213"/>
    </row>
    <row r="107" spans="24:27" s="18" customFormat="1" ht="21" x14ac:dyDescent="0.4">
      <c r="X107" s="213"/>
      <c r="Y107" s="213"/>
      <c r="Z107" s="213"/>
      <c r="AA107" s="213"/>
    </row>
    <row r="108" spans="24:27" s="18" customFormat="1" ht="21" x14ac:dyDescent="0.4">
      <c r="X108" s="213"/>
      <c r="Y108" s="213"/>
      <c r="Z108" s="213"/>
      <c r="AA108" s="213"/>
    </row>
    <row r="109" spans="24:27" s="18" customFormat="1" ht="21" x14ac:dyDescent="0.4">
      <c r="X109" s="213"/>
      <c r="Y109" s="213"/>
      <c r="Z109" s="213"/>
      <c r="AA109" s="213"/>
    </row>
    <row r="110" spans="24:27" s="18" customFormat="1" ht="21" x14ac:dyDescent="0.4">
      <c r="X110" s="213"/>
      <c r="Y110" s="213"/>
      <c r="Z110" s="213"/>
      <c r="AA110" s="213"/>
    </row>
    <row r="111" spans="24:27" s="18" customFormat="1" ht="21" x14ac:dyDescent="0.4">
      <c r="X111" s="213"/>
      <c r="Y111" s="213"/>
      <c r="Z111" s="213"/>
      <c r="AA111" s="213"/>
    </row>
    <row r="112" spans="24:27" s="18" customFormat="1" ht="21" x14ac:dyDescent="0.4">
      <c r="X112" s="213"/>
      <c r="Y112" s="213"/>
      <c r="Z112" s="213"/>
      <c r="AA112" s="213"/>
    </row>
    <row r="113" spans="2:27" s="18" customFormat="1" ht="21" x14ac:dyDescent="0.4">
      <c r="X113" s="213"/>
      <c r="Y113" s="213"/>
      <c r="Z113" s="213"/>
      <c r="AA113" s="213"/>
    </row>
    <row r="114" spans="2:27" s="18" customFormat="1" ht="21" x14ac:dyDescent="0.4">
      <c r="X114" s="213"/>
      <c r="Y114" s="213"/>
      <c r="Z114" s="213"/>
      <c r="AA114" s="213"/>
    </row>
    <row r="115" spans="2:27" s="18" customFormat="1" ht="21" x14ac:dyDescent="0.4">
      <c r="X115" s="213"/>
      <c r="Y115" s="213"/>
      <c r="Z115" s="213"/>
      <c r="AA115" s="213"/>
    </row>
    <row r="116" spans="2:27" s="18" customFormat="1" ht="21" x14ac:dyDescent="0.4">
      <c r="X116" s="213"/>
      <c r="Y116" s="213"/>
      <c r="Z116" s="213"/>
      <c r="AA116" s="213"/>
    </row>
    <row r="117" spans="2:27" s="18" customFormat="1" ht="21" x14ac:dyDescent="0.4">
      <c r="B117" s="42" t="s">
        <v>25</v>
      </c>
      <c r="C117" s="21"/>
      <c r="X117" s="213"/>
      <c r="Y117" s="213"/>
      <c r="Z117" s="213"/>
      <c r="AA117" s="213"/>
    </row>
    <row r="118" spans="2:27" s="18" customFormat="1" ht="21" x14ac:dyDescent="0.4">
      <c r="B118" s="43" t="s">
        <v>26</v>
      </c>
      <c r="C118" s="21" t="s">
        <v>40</v>
      </c>
      <c r="X118" s="213"/>
      <c r="Y118" s="213"/>
      <c r="Z118" s="213"/>
      <c r="AA118" s="213"/>
    </row>
    <row r="119" spans="2:27" s="18" customFormat="1" ht="21" x14ac:dyDescent="0.4">
      <c r="B119" s="43" t="s">
        <v>26</v>
      </c>
      <c r="C119" s="21" t="s">
        <v>39</v>
      </c>
      <c r="X119" s="213"/>
      <c r="Y119" s="213"/>
      <c r="Z119" s="213"/>
      <c r="AA119" s="213"/>
    </row>
    <row r="120" spans="2:27" s="18" customFormat="1" ht="21" x14ac:dyDescent="0.4">
      <c r="B120" s="43" t="s">
        <v>26</v>
      </c>
      <c r="C120" s="21" t="s">
        <v>41</v>
      </c>
      <c r="X120" s="213"/>
      <c r="Y120" s="213"/>
      <c r="Z120" s="213"/>
      <c r="AA120" s="213"/>
    </row>
    <row r="121" spans="2:27" s="18" customFormat="1" ht="63" x14ac:dyDescent="0.4">
      <c r="B121" s="44" t="s">
        <v>38</v>
      </c>
      <c r="C121" s="45" t="s">
        <v>42</v>
      </c>
      <c r="X121" s="213"/>
      <c r="Y121" s="213"/>
      <c r="Z121" s="213"/>
      <c r="AA121" s="213"/>
    </row>
    <row r="122" spans="2:27" s="10" customFormat="1" ht="18" x14ac:dyDescent="0.35">
      <c r="X122" s="214"/>
      <c r="Y122" s="214"/>
      <c r="Z122" s="214"/>
      <c r="AA122" s="214"/>
    </row>
    <row r="123" spans="2:27" s="10" customFormat="1" ht="18" x14ac:dyDescent="0.35">
      <c r="X123" s="214"/>
      <c r="Y123" s="214"/>
      <c r="Z123" s="214"/>
      <c r="AA123" s="214"/>
    </row>
    <row r="124" spans="2:27" s="10" customFormat="1" ht="18" x14ac:dyDescent="0.35">
      <c r="X124" s="214"/>
      <c r="Y124" s="214"/>
      <c r="Z124" s="214"/>
      <c r="AA124" s="214"/>
    </row>
    <row r="125" spans="2:27" s="10" customFormat="1" ht="18" x14ac:dyDescent="0.35">
      <c r="X125" s="214"/>
      <c r="Y125" s="214"/>
      <c r="Z125" s="214"/>
      <c r="AA125" s="214"/>
    </row>
    <row r="126" spans="2:27" s="10" customFormat="1" ht="18" x14ac:dyDescent="0.35">
      <c r="X126" s="214"/>
      <c r="Y126" s="214"/>
      <c r="Z126" s="214"/>
      <c r="AA126" s="214"/>
    </row>
    <row r="127" spans="2:27" s="10" customFormat="1" ht="18" x14ac:dyDescent="0.35">
      <c r="X127" s="214"/>
      <c r="Y127" s="214"/>
      <c r="Z127" s="214"/>
      <c r="AA127" s="214"/>
    </row>
    <row r="128" spans="2:27" s="10" customFormat="1" ht="18" x14ac:dyDescent="0.35">
      <c r="X128" s="214"/>
      <c r="Y128" s="214"/>
      <c r="Z128" s="214"/>
      <c r="AA128" s="214"/>
    </row>
    <row r="129" spans="2:27" s="10" customFormat="1" ht="18" x14ac:dyDescent="0.35">
      <c r="X129" s="214"/>
      <c r="Y129" s="214"/>
      <c r="Z129" s="214"/>
      <c r="AA129" s="214"/>
    </row>
    <row r="130" spans="2:27" s="10" customFormat="1" ht="18" x14ac:dyDescent="0.35">
      <c r="X130" s="214"/>
      <c r="Y130" s="214"/>
      <c r="Z130" s="214"/>
      <c r="AA130" s="214"/>
    </row>
    <row r="131" spans="2:27" s="10" customFormat="1" ht="18" x14ac:dyDescent="0.35">
      <c r="X131" s="214"/>
      <c r="Y131" s="214"/>
      <c r="Z131" s="214"/>
      <c r="AA131" s="214"/>
    </row>
    <row r="132" spans="2:27" s="10" customFormat="1" ht="12.6" customHeight="1" x14ac:dyDescent="0.35">
      <c r="X132" s="214"/>
      <c r="Y132" s="214"/>
      <c r="Z132" s="214"/>
      <c r="AA132" s="214"/>
    </row>
    <row r="133" spans="2:27" s="10" customFormat="1" ht="18" x14ac:dyDescent="0.35">
      <c r="X133" s="214"/>
      <c r="Y133" s="214"/>
      <c r="Z133" s="214"/>
      <c r="AA133" s="214"/>
    </row>
    <row r="134" spans="2:27" s="10" customFormat="1" ht="18" x14ac:dyDescent="0.35">
      <c r="X134" s="214"/>
      <c r="Y134" s="214"/>
      <c r="Z134" s="214"/>
      <c r="AA134" s="214"/>
    </row>
    <row r="135" spans="2:27" s="18" customFormat="1" ht="21" x14ac:dyDescent="0.4">
      <c r="X135" s="213"/>
      <c r="Y135" s="213"/>
      <c r="Z135" s="213"/>
      <c r="AA135" s="213"/>
    </row>
    <row r="136" spans="2:27" s="18" customFormat="1" ht="21" x14ac:dyDescent="0.4">
      <c r="B136" s="42"/>
      <c r="C136" s="21"/>
      <c r="X136" s="213"/>
      <c r="Y136" s="213"/>
      <c r="Z136" s="213"/>
      <c r="AA136" s="213"/>
    </row>
    <row r="137" spans="2:27" s="18" customFormat="1" ht="21" x14ac:dyDescent="0.4">
      <c r="B137" s="43"/>
      <c r="C137" s="21"/>
      <c r="X137" s="213"/>
      <c r="Y137" s="213"/>
      <c r="Z137" s="213"/>
      <c r="AA137" s="213"/>
    </row>
    <row r="138" spans="2:27" s="18" customFormat="1" ht="21" x14ac:dyDescent="0.4">
      <c r="B138" s="43"/>
      <c r="C138" s="21"/>
      <c r="X138" s="213"/>
      <c r="Y138" s="213"/>
      <c r="Z138" s="213"/>
      <c r="AA138" s="213"/>
    </row>
    <row r="139" spans="2:27" s="18" customFormat="1" ht="21" x14ac:dyDescent="0.4">
      <c r="B139" s="43"/>
      <c r="C139" s="21"/>
      <c r="X139" s="213"/>
      <c r="Y139" s="213"/>
      <c r="Z139" s="213"/>
      <c r="AA139" s="213"/>
    </row>
    <row r="140" spans="2:27" s="18" customFormat="1" ht="21" x14ac:dyDescent="0.4">
      <c r="B140" s="44"/>
      <c r="C140" s="45"/>
      <c r="X140" s="213"/>
      <c r="Y140" s="213"/>
      <c r="Z140" s="213"/>
      <c r="AA140" s="213"/>
    </row>
    <row r="141" spans="2:27" s="18" customFormat="1" ht="14.25" customHeight="1" x14ac:dyDescent="0.4">
      <c r="B141" s="43"/>
      <c r="C141" s="21"/>
      <c r="M141" s="21"/>
      <c r="O141" s="46"/>
      <c r="P141" s="46"/>
      <c r="Q141" s="46"/>
      <c r="T141" s="21"/>
      <c r="U141" s="46"/>
      <c r="V141" s="46"/>
      <c r="X141" s="213"/>
      <c r="Y141" s="213"/>
      <c r="Z141" s="213"/>
      <c r="AA141" s="213"/>
    </row>
    <row r="142" spans="2:27" s="18" customFormat="1" ht="36" customHeight="1" x14ac:dyDescent="0.4">
      <c r="B142" s="47"/>
      <c r="C142" s="45"/>
      <c r="K142" s="19"/>
      <c r="R142" s="19"/>
      <c r="X142" s="213"/>
      <c r="Y142" s="213"/>
      <c r="Z142" s="213"/>
      <c r="AA142" s="213"/>
    </row>
    <row r="143" spans="2:27" x14ac:dyDescent="0.25">
      <c r="B143" s="48"/>
      <c r="C143" s="49"/>
    </row>
    <row r="144" spans="2:27" x14ac:dyDescent="0.25">
      <c r="B144" s="48"/>
      <c r="C144" s="49"/>
      <c r="R144" s="15"/>
    </row>
    <row r="145" spans="2:27" x14ac:dyDescent="0.25">
      <c r="B145" s="48"/>
      <c r="C145" s="49"/>
    </row>
    <row r="146" spans="2:27" s="12" customFormat="1" ht="46.5" customHeight="1" x14ac:dyDescent="0.3">
      <c r="B146" s="50"/>
      <c r="C146" s="51"/>
      <c r="X146" s="215"/>
      <c r="Y146" s="215"/>
      <c r="Z146" s="215"/>
      <c r="AA146" s="215"/>
    </row>
  </sheetData>
  <mergeCells count="209">
    <mergeCell ref="B4:V4"/>
    <mergeCell ref="B1:K1"/>
    <mergeCell ref="O1:V1"/>
    <mergeCell ref="B2:K2"/>
    <mergeCell ref="O2:V2"/>
    <mergeCell ref="B3:V3"/>
    <mergeCell ref="B29:J29"/>
    <mergeCell ref="T7:T8"/>
    <mergeCell ref="U7:U8"/>
    <mergeCell ref="V7:V8"/>
    <mergeCell ref="K7:L7"/>
    <mergeCell ref="M7:N7"/>
    <mergeCell ref="O7:O8"/>
    <mergeCell ref="P7:P8"/>
    <mergeCell ref="Q7:Q8"/>
    <mergeCell ref="R7:R8"/>
    <mergeCell ref="C9:C10"/>
    <mergeCell ref="G9:G10"/>
    <mergeCell ref="H9:H10"/>
    <mergeCell ref="I9:I10"/>
    <mergeCell ref="J9:J10"/>
    <mergeCell ref="B14:B15"/>
    <mergeCell ref="B21:B22"/>
    <mergeCell ref="C21:C22"/>
    <mergeCell ref="D21:D22"/>
    <mergeCell ref="E21:E22"/>
    <mergeCell ref="F21:F22"/>
    <mergeCell ref="B5:G5"/>
    <mergeCell ref="B6:C6"/>
    <mergeCell ref="B7:B8"/>
    <mergeCell ref="C7:C8"/>
    <mergeCell ref="D7:D8"/>
    <mergeCell ref="E7:E8"/>
    <mergeCell ref="F7:F8"/>
    <mergeCell ref="G7:J7"/>
    <mergeCell ref="B18:J18"/>
    <mergeCell ref="B19:G19"/>
    <mergeCell ref="B12:B13"/>
    <mergeCell ref="G12:G13"/>
    <mergeCell ref="H12:H13"/>
    <mergeCell ref="I12:I13"/>
    <mergeCell ref="J12:J13"/>
    <mergeCell ref="C12:C13"/>
    <mergeCell ref="B9:B10"/>
    <mergeCell ref="B16:J16"/>
    <mergeCell ref="B17:J17"/>
    <mergeCell ref="C14:C15"/>
    <mergeCell ref="G14:G15"/>
    <mergeCell ref="O21:O22"/>
    <mergeCell ref="P21:P22"/>
    <mergeCell ref="Q21:Q22"/>
    <mergeCell ref="G21:J21"/>
    <mergeCell ref="K21:L21"/>
    <mergeCell ref="M21:N21"/>
    <mergeCell ref="G27:G28"/>
    <mergeCell ref="H27:H28"/>
    <mergeCell ref="I27:I28"/>
    <mergeCell ref="J27:J28"/>
    <mergeCell ref="H14:H15"/>
    <mergeCell ref="I14:I15"/>
    <mergeCell ref="J14:J15"/>
    <mergeCell ref="R21:R22"/>
    <mergeCell ref="T21:T22"/>
    <mergeCell ref="U21:U22"/>
    <mergeCell ref="V21:V22"/>
    <mergeCell ref="R40:R41"/>
    <mergeCell ref="T40:T41"/>
    <mergeCell ref="U40:U41"/>
    <mergeCell ref="V40:V41"/>
    <mergeCell ref="R24:U24"/>
    <mergeCell ref="R26:U26"/>
    <mergeCell ref="R28:U28"/>
    <mergeCell ref="K40:L40"/>
    <mergeCell ref="M40:N40"/>
    <mergeCell ref="O40:O41"/>
    <mergeCell ref="P40:P41"/>
    <mergeCell ref="Q40:Q41"/>
    <mergeCell ref="C38:J38"/>
    <mergeCell ref="U33:U34"/>
    <mergeCell ref="V33:V34"/>
    <mergeCell ref="G33:J33"/>
    <mergeCell ref="K33:L33"/>
    <mergeCell ref="B68:V68"/>
    <mergeCell ref="B69:V69"/>
    <mergeCell ref="B71:U71"/>
    <mergeCell ref="B67:V67"/>
    <mergeCell ref="Q53:Q54"/>
    <mergeCell ref="B53:B54"/>
    <mergeCell ref="C53:C54"/>
    <mergeCell ref="D53:D54"/>
    <mergeCell ref="E53:E54"/>
    <mergeCell ref="F53:F54"/>
    <mergeCell ref="G53:J53"/>
    <mergeCell ref="K53:L53"/>
    <mergeCell ref="M53:N53"/>
    <mergeCell ref="O53:O54"/>
    <mergeCell ref="P53:P54"/>
    <mergeCell ref="R53:R54"/>
    <mergeCell ref="T53:T54"/>
    <mergeCell ref="U53:U54"/>
    <mergeCell ref="V53:V54"/>
    <mergeCell ref="G55:G56"/>
    <mergeCell ref="H55:H56"/>
    <mergeCell ref="I55:I56"/>
    <mergeCell ref="B70:V70"/>
    <mergeCell ref="B63:J63"/>
    <mergeCell ref="B72:U72"/>
    <mergeCell ref="G83:J83"/>
    <mergeCell ref="M83:N83"/>
    <mergeCell ref="O83:R83"/>
    <mergeCell ref="S83:U83"/>
    <mergeCell ref="B73:U73"/>
    <mergeCell ref="B74:U74"/>
    <mergeCell ref="T81:V81"/>
    <mergeCell ref="T82:V82"/>
    <mergeCell ref="B75:U75"/>
    <mergeCell ref="B76:U76"/>
    <mergeCell ref="B77:U77"/>
    <mergeCell ref="B78:U78"/>
    <mergeCell ref="B79:U79"/>
    <mergeCell ref="B80:U80"/>
    <mergeCell ref="B40:B41"/>
    <mergeCell ref="C40:C41"/>
    <mergeCell ref="D40:D41"/>
    <mergeCell ref="E40:E41"/>
    <mergeCell ref="F40:F41"/>
    <mergeCell ref="G40:J40"/>
    <mergeCell ref="B39:V39"/>
    <mergeCell ref="B23:B24"/>
    <mergeCell ref="C23:C24"/>
    <mergeCell ref="G23:G24"/>
    <mergeCell ref="H23:H24"/>
    <mergeCell ref="I23:I24"/>
    <mergeCell ref="J23:J24"/>
    <mergeCell ref="C25:C26"/>
    <mergeCell ref="B25:B26"/>
    <mergeCell ref="G25:G26"/>
    <mergeCell ref="H25:H26"/>
    <mergeCell ref="I25:I26"/>
    <mergeCell ref="J25:J26"/>
    <mergeCell ref="B27:B28"/>
    <mergeCell ref="C27:C28"/>
    <mergeCell ref="Q33:Q34"/>
    <mergeCell ref="R33:R34"/>
    <mergeCell ref="T33:T34"/>
    <mergeCell ref="M33:N33"/>
    <mergeCell ref="O33:O34"/>
    <mergeCell ref="P33:P34"/>
    <mergeCell ref="B33:B34"/>
    <mergeCell ref="C33:C34"/>
    <mergeCell ref="D33:D34"/>
    <mergeCell ref="E33:E34"/>
    <mergeCell ref="F33:F34"/>
    <mergeCell ref="B30:J30"/>
    <mergeCell ref="B31:J31"/>
    <mergeCell ref="C44:C45"/>
    <mergeCell ref="G44:G45"/>
    <mergeCell ref="H44:H45"/>
    <mergeCell ref="I44:I45"/>
    <mergeCell ref="J44:J45"/>
    <mergeCell ref="B42:B43"/>
    <mergeCell ref="C42:C43"/>
    <mergeCell ref="G42:G43"/>
    <mergeCell ref="H42:H43"/>
    <mergeCell ref="I42:I43"/>
    <mergeCell ref="B64:J64"/>
    <mergeCell ref="B65:J65"/>
    <mergeCell ref="B57:B58"/>
    <mergeCell ref="B59:B60"/>
    <mergeCell ref="R56:U56"/>
    <mergeCell ref="R58:U58"/>
    <mergeCell ref="R60:U60"/>
    <mergeCell ref="J59:J60"/>
    <mergeCell ref="I59:I60"/>
    <mergeCell ref="H59:H60"/>
    <mergeCell ref="G59:G60"/>
    <mergeCell ref="C57:C58"/>
    <mergeCell ref="C59:C60"/>
    <mergeCell ref="J55:J56"/>
    <mergeCell ref="G57:G58"/>
    <mergeCell ref="I57:I58"/>
    <mergeCell ref="H57:H58"/>
    <mergeCell ref="J57:J58"/>
    <mergeCell ref="B55:B56"/>
    <mergeCell ref="C55:C56"/>
    <mergeCell ref="R10:U10"/>
    <mergeCell ref="R13:U13"/>
    <mergeCell ref="R15:U15"/>
    <mergeCell ref="B61:B62"/>
    <mergeCell ref="C61:C62"/>
    <mergeCell ref="G61:G62"/>
    <mergeCell ref="H61:H62"/>
    <mergeCell ref="I61:I62"/>
    <mergeCell ref="J61:J62"/>
    <mergeCell ref="R62:U62"/>
    <mergeCell ref="B49:J49"/>
    <mergeCell ref="B50:J50"/>
    <mergeCell ref="B51:J51"/>
    <mergeCell ref="I46:I47"/>
    <mergeCell ref="J46:J47"/>
    <mergeCell ref="R43:U43"/>
    <mergeCell ref="R45:U45"/>
    <mergeCell ref="R47:U47"/>
    <mergeCell ref="B44:B45"/>
    <mergeCell ref="B46:B47"/>
    <mergeCell ref="C46:C47"/>
    <mergeCell ref="G46:G47"/>
    <mergeCell ref="H46:H47"/>
    <mergeCell ref="J42:J43"/>
  </mergeCells>
  <printOptions horizontalCentered="1"/>
  <pageMargins left="0" right="0" top="0.19685039370078741" bottom="0" header="0.19685039370078741" footer="0.19685039370078741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 </vt:lpstr>
      <vt:lpstr>'BC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2026-09-03T07:51:18Z</cp:lastPrinted>
  <dcterms:created xsi:type="dcterms:W3CDTF">2025-04-11T07:00:05Z</dcterms:created>
  <dcterms:modified xsi:type="dcterms:W3CDTF">2026-09-03T08:03:59Z</dcterms:modified>
</cp:coreProperties>
</file>